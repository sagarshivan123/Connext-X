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66925"/>
  <xr:revisionPtr revIDLastSave="0" documentId="8_{6E4F63E7-0F4D-45C2-808A-9ABFDEE98D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</calcChain>
</file>

<file path=xl/sharedStrings.xml><?xml version="1.0" encoding="utf-8"?>
<sst xmlns="http://schemas.openxmlformats.org/spreadsheetml/2006/main" count="597" uniqueCount="209">
  <si>
    <t>SNo.</t>
  </si>
  <si>
    <t>Enrollment No</t>
  </si>
  <si>
    <t>Name of the Candidate</t>
  </si>
  <si>
    <t>Date of Birth</t>
  </si>
  <si>
    <t>Age</t>
  </si>
  <si>
    <t>College</t>
  </si>
  <si>
    <t>Father's Name</t>
  </si>
  <si>
    <t>Gender</t>
  </si>
  <si>
    <t>Category/Caste</t>
  </si>
  <si>
    <t>PWD</t>
  </si>
  <si>
    <t>If Yes,Type of Disabilty</t>
  </si>
  <si>
    <t>Roll No</t>
  </si>
  <si>
    <t>JEE Mains Rank(if diploma enter 0)</t>
  </si>
  <si>
    <t>Email (Only Personal Email Id)</t>
  </si>
  <si>
    <t>Contact No.</t>
  </si>
  <si>
    <t>10th Details</t>
  </si>
  <si>
    <t>12th / Diploma Details</t>
  </si>
  <si>
    <t>BTech Details</t>
  </si>
  <si>
    <t>Hometown City</t>
  </si>
  <si>
    <t>Hometown State</t>
  </si>
  <si>
    <t>10th Percentage</t>
  </si>
  <si>
    <t>10th Board (CBSE, UP, ICSE etc)</t>
  </si>
  <si>
    <t>Year of Passing(10th)</t>
  </si>
  <si>
    <t>12th/Diploma</t>
  </si>
  <si>
    <t>Diploma Percentage</t>
  </si>
  <si>
    <t>Year of Passing(Diploma)</t>
  </si>
  <si>
    <t>12th Percentage(If diploma enter 0)</t>
  </si>
  <si>
    <t>12th Board (CBSE, UP, ICSE etc )</t>
  </si>
  <si>
    <t>Year of Passing(12th, if diploma enter 0)</t>
  </si>
  <si>
    <t>Year of Passing(BTech)</t>
  </si>
  <si>
    <t>Branch</t>
  </si>
  <si>
    <t>1st Semester cgpa(if diploma enter 0)</t>
  </si>
  <si>
    <t>2nd Semester cgpa(if diploma enter 0)</t>
  </si>
  <si>
    <t>3rd Semester cgpa</t>
  </si>
  <si>
    <t>4th Semester cgpa</t>
  </si>
  <si>
    <t>5th Semester cgpa</t>
  </si>
  <si>
    <t>6th Semester cgpa</t>
  </si>
  <si>
    <t>Semester Agg upto 6th Semester</t>
  </si>
  <si>
    <t>Abhijeet Srivastava</t>
  </si>
  <si>
    <t>Kamla Nehru Institute of Technology, Sultanpur</t>
  </si>
  <si>
    <t>Manoj Kumar Srivastava</t>
  </si>
  <si>
    <t>Male</t>
  </si>
  <si>
    <t>General</t>
  </si>
  <si>
    <t>No</t>
  </si>
  <si>
    <t>abhijeetsrivastava3011@gmail.com</t>
  </si>
  <si>
    <t>Cbse</t>
  </si>
  <si>
    <t>12th</t>
  </si>
  <si>
    <t>Electrical Engineering</t>
  </si>
  <si>
    <t>Varanasi</t>
  </si>
  <si>
    <t>Uttar Pradesh</t>
  </si>
  <si>
    <t>Abhishek singh</t>
  </si>
  <si>
    <t>Vakil singh</t>
  </si>
  <si>
    <t>OBC</t>
  </si>
  <si>
    <t>asingh51924@gmail.com</t>
  </si>
  <si>
    <t>CBSE</t>
  </si>
  <si>
    <t>NIOS</t>
  </si>
  <si>
    <t>Gorakhpur</t>
  </si>
  <si>
    <t>Aditya Vishwakarma</t>
  </si>
  <si>
    <t>Rambhawan Vishwakarma</t>
  </si>
  <si>
    <t>aditya7526089488@gmail.com</t>
  </si>
  <si>
    <t>UP</t>
  </si>
  <si>
    <t>Maharajganj</t>
  </si>
  <si>
    <t>Ajay Sharma</t>
  </si>
  <si>
    <t>Pradeep Kumar Sharma</t>
  </si>
  <si>
    <t>Ews</t>
  </si>
  <si>
    <t>ajay.sharma072003@gmail.com</t>
  </si>
  <si>
    <t>Meerut</t>
  </si>
  <si>
    <t>Ajay Singh Yadav</t>
  </si>
  <si>
    <t>Dwarika Prasad</t>
  </si>
  <si>
    <t>ajaysinghyadav1285@gmail.com</t>
  </si>
  <si>
    <t>Ajeet Singh</t>
  </si>
  <si>
    <t>Mohan Singh</t>
  </si>
  <si>
    <t>ajeetkng05@gmail.com</t>
  </si>
  <si>
    <t>Kushinagar</t>
  </si>
  <si>
    <t>Akash Patel</t>
  </si>
  <si>
    <t>Ram Sagar Patel</t>
  </si>
  <si>
    <t>patelaakash6387@gmail.com</t>
  </si>
  <si>
    <t>Akhilesh tiwari</t>
  </si>
  <si>
    <t>Devmani tiwari</t>
  </si>
  <si>
    <t>tiwariakhilesh4894@gmail.com</t>
  </si>
  <si>
    <t>BASTI</t>
  </si>
  <si>
    <t>Aman Singh</t>
  </si>
  <si>
    <t>Bhanu Pratap Singh</t>
  </si>
  <si>
    <t>as6306316@gmail.com</t>
  </si>
  <si>
    <t>Barabanki</t>
  </si>
  <si>
    <t>Utter Pradesh</t>
  </si>
  <si>
    <t>Amita</t>
  </si>
  <si>
    <t>Ashok Kumar</t>
  </si>
  <si>
    <t>Female</t>
  </si>
  <si>
    <t>Yes</t>
  </si>
  <si>
    <t>amita123ftp@gmail.com</t>
  </si>
  <si>
    <t>Up</t>
  </si>
  <si>
    <t>Fatehpur</t>
  </si>
  <si>
    <t>Amreesh Sharma</t>
  </si>
  <si>
    <t>Shree Bhagwan</t>
  </si>
  <si>
    <t>amreesh.sharma318@gmail.com</t>
  </si>
  <si>
    <t>Agra</t>
  </si>
  <si>
    <t>Anshrit Singh</t>
  </si>
  <si>
    <t>Shiv Chandra Singh</t>
  </si>
  <si>
    <t>anshritsingh@gmail.com</t>
  </si>
  <si>
    <t>Gonda</t>
  </si>
  <si>
    <t>Anushka Shekhar</t>
  </si>
  <si>
    <t>Ajay Shekhar Pandey</t>
  </si>
  <si>
    <t>anushkashekharpandey@gmail.com</t>
  </si>
  <si>
    <t>Lucknow</t>
  </si>
  <si>
    <t>Ashish Kumar Verma</t>
  </si>
  <si>
    <t>Brijesh Kumar Verma</t>
  </si>
  <si>
    <t>ashishk8290@gmail.com</t>
  </si>
  <si>
    <t>Ayush Singh</t>
  </si>
  <si>
    <t>Virendra Singh</t>
  </si>
  <si>
    <t>ayush.singh54555@gmail.com</t>
  </si>
  <si>
    <t>Prayagraj</t>
  </si>
  <si>
    <t>Fayaque Siddiqui</t>
  </si>
  <si>
    <t>Ehteshamuddin</t>
  </si>
  <si>
    <t>fayaque03@gmail.com</t>
  </si>
  <si>
    <t>Mugalsarai</t>
  </si>
  <si>
    <t>Gaurav Kushwaha</t>
  </si>
  <si>
    <t>Rama Shanker Kushwaha</t>
  </si>
  <si>
    <t>gaurav29072004@gmail.com</t>
  </si>
  <si>
    <t>ICSE</t>
  </si>
  <si>
    <t>Harsh Tripathi</t>
  </si>
  <si>
    <t>Awadhesh Tripathi</t>
  </si>
  <si>
    <t>harshtripathi2499@gmail.com</t>
  </si>
  <si>
    <t>Bhadohi</t>
  </si>
  <si>
    <t>Ishika Chauhan</t>
  </si>
  <si>
    <t>Arvind Kumar</t>
  </si>
  <si>
    <t>chauhanishika2311@gmail.com</t>
  </si>
  <si>
    <t>Etah</t>
  </si>
  <si>
    <t>Kaushal Kumar</t>
  </si>
  <si>
    <t>Rajendra Singh</t>
  </si>
  <si>
    <t>kaushalkumar3703@gmail.com</t>
  </si>
  <si>
    <t>Aligarh</t>
  </si>
  <si>
    <t>Manisha</t>
  </si>
  <si>
    <t>Ramji kannaujiya</t>
  </si>
  <si>
    <t>SC</t>
  </si>
  <si>
    <t>kumarimanisha57978@gmail.com</t>
  </si>
  <si>
    <t>UP board</t>
  </si>
  <si>
    <t>Mansi Yadav</t>
  </si>
  <si>
    <t>Rajesh Kumar Yadav</t>
  </si>
  <si>
    <t>mansi.22332@knit.ac.in</t>
  </si>
  <si>
    <t>Reabareli</t>
  </si>
  <si>
    <t>Mrityunjay Tripathi</t>
  </si>
  <si>
    <t>Navnath Tripathi</t>
  </si>
  <si>
    <t>mrityunjaytiwari9956@gmail.com</t>
  </si>
  <si>
    <t>kushingar</t>
  </si>
  <si>
    <t>Nitin Singh</t>
  </si>
  <si>
    <t>Bechan Singh</t>
  </si>
  <si>
    <t>nitinsinghns1239@gmail.com</t>
  </si>
  <si>
    <t>Pradhuman Tiwari</t>
  </si>
  <si>
    <t>Ram Avtar Tiwari</t>
  </si>
  <si>
    <t>pradhumantiwari786@gmail.com</t>
  </si>
  <si>
    <t>Uttar pradesh</t>
  </si>
  <si>
    <t>Priyanshu Kumar</t>
  </si>
  <si>
    <t>Nagendra Prasad</t>
  </si>
  <si>
    <t>ST</t>
  </si>
  <si>
    <t>priyanshupriyanshukumar095@gmail.com</t>
  </si>
  <si>
    <t>Ballia</t>
  </si>
  <si>
    <t>Priyanshu Yadav</t>
  </si>
  <si>
    <t>Vijendra Yadav</t>
  </si>
  <si>
    <t>priyanshukng1@gmail.com</t>
  </si>
  <si>
    <t>Ritesh Yadav</t>
  </si>
  <si>
    <t>Suresh Yadav</t>
  </si>
  <si>
    <t>krishnavanshiritesh@gmail.com</t>
  </si>
  <si>
    <t>Mau</t>
  </si>
  <si>
    <t>Riya Sonkar</t>
  </si>
  <si>
    <t>Vivek Kumar</t>
  </si>
  <si>
    <t>mriduriyasonkar@gmail.com</t>
  </si>
  <si>
    <t>Kanpur</t>
  </si>
  <si>
    <t>Samarth Shanker</t>
  </si>
  <si>
    <t>Late Uday Shanker</t>
  </si>
  <si>
    <t>samarthshanker2004@gmail.com</t>
  </si>
  <si>
    <t>Shrey Srivastava</t>
  </si>
  <si>
    <t>Rohit Srivastava</t>
  </si>
  <si>
    <t>shreysrivast@gmail.com</t>
  </si>
  <si>
    <t>Suryansh Prakash</t>
  </si>
  <si>
    <t>Rambhavan Sharma</t>
  </si>
  <si>
    <t>suryansh.22354@knit.ac.in</t>
  </si>
  <si>
    <t>Sirathu Kaushambi</t>
  </si>
  <si>
    <t>Tejash Shrivastav</t>
  </si>
  <si>
    <t>Manoj kumar Shrivastav</t>
  </si>
  <si>
    <t>tejashstivas@gmail.com</t>
  </si>
  <si>
    <t>Sultanpur</t>
  </si>
  <si>
    <t>Utkarsh Sahu</t>
  </si>
  <si>
    <t>Neeraj Sahu</t>
  </si>
  <si>
    <t>utkarshsahu.564@gmail.com</t>
  </si>
  <si>
    <t>Sitapur</t>
  </si>
  <si>
    <t>Utkarsh Srivastava</t>
  </si>
  <si>
    <t>Ambuj Srivastava</t>
  </si>
  <si>
    <t>utkarshsrivastava768@gmail.com</t>
  </si>
  <si>
    <t>Vikalp Shukla</t>
  </si>
  <si>
    <t>Gopal Saran Shukla</t>
  </si>
  <si>
    <t>vikalpsshukla@gmail.com</t>
  </si>
  <si>
    <t>Vinay Vishwakarma</t>
  </si>
  <si>
    <t>Jay Narayan</t>
  </si>
  <si>
    <t>vinayvishwakarma9919@gmail.com</t>
  </si>
  <si>
    <t>Sant kabir nagar</t>
  </si>
  <si>
    <t>Yugank Gupta</t>
  </si>
  <si>
    <t>Guddu Gupta</t>
  </si>
  <si>
    <t>yugankgupta8@gmail.com</t>
  </si>
  <si>
    <t>AKHILESH KUMAR</t>
  </si>
  <si>
    <t>DWARIKA PRASAD</t>
  </si>
  <si>
    <t>jdpakhilesh209@gmail.com</t>
  </si>
  <si>
    <t>UP BOARD</t>
  </si>
  <si>
    <t>Diploma</t>
  </si>
  <si>
    <t>Ayodhya</t>
  </si>
  <si>
    <t>Mansi Chaudhary</t>
  </si>
  <si>
    <t>Ram Gopal</t>
  </si>
  <si>
    <t>mansichaudhary1284@gmail.com</t>
  </si>
  <si>
    <t>UP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</si>
</sst>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FFFFFF"/>
      <name val="Roboto"/>
      <charset val="1"/>
    </font>
    <font>
      <sz val="10"/>
      <color theme="1"/>
      <name val="Arial"/>
      <charset val="1"/>
    </font>
    <font>
      <sz val="10"/>
      <color rgb="FF434343"/>
      <name val="Roboto"/>
      <charset val="1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Border="1" applyAlignment="1">
      <alignment horizontal="left" readingOrder="1"/>
    </xf>
    <xf numFmtId="0" fontId="0" fillId="0" borderId="0" xfId="0" applyBorder="1" applyAlignment="1">
      <alignment horizontal="left"/>
    </xf>
    <xf numFmtId="0" fontId="3" fillId="3" borderId="1" xfId="0" applyFont="1" applyFill="1" applyBorder="1" applyAlignment="1">
      <alignment horizontal="left" readingOrder="1"/>
    </xf>
    <xf numFmtId="14" fontId="3" fillId="3" borderId="1" xfId="0" applyNumberFormat="1" applyFont="1" applyFill="1" applyBorder="1" applyAlignment="1">
      <alignment horizontal="left" readingOrder="1"/>
    </xf>
    <xf numFmtId="0" fontId="2" fillId="3" borderId="1" xfId="0" applyFont="1" applyFill="1" applyBorder="1" applyAlignment="1">
      <alignment horizontal="left" readingOrder="1"/>
    </xf>
    <xf numFmtId="0" fontId="3" fillId="4" borderId="1" xfId="0" applyFont="1" applyFill="1" applyBorder="1" applyAlignment="1">
      <alignment horizontal="left" readingOrder="1"/>
    </xf>
    <xf numFmtId="14" fontId="3" fillId="4" borderId="1" xfId="0" applyNumberFormat="1" applyFont="1" applyFill="1" applyBorder="1" applyAlignment="1">
      <alignment horizontal="left" readingOrder="1"/>
    </xf>
    <xf numFmtId="0" fontId="3" fillId="3" borderId="2" xfId="0" applyFont="1" applyFill="1" applyBorder="1" applyAlignment="1">
      <alignment horizontal="left" readingOrder="1"/>
    </xf>
    <xf numFmtId="14" fontId="3" fillId="3" borderId="2" xfId="0" applyNumberFormat="1" applyFont="1" applyFill="1" applyBorder="1" applyAlignment="1">
      <alignment horizontal="left" readingOrder="1"/>
    </xf>
    <xf numFmtId="0" fontId="2" fillId="3" borderId="2" xfId="0" applyFont="1" applyFill="1" applyBorder="1" applyAlignment="1">
      <alignment horizontal="left" readingOrder="1"/>
    </xf>
    <xf numFmtId="0" fontId="1" fillId="2" borderId="3" xfId="0" applyFont="1" applyFill="1" applyBorder="1" applyAlignment="1">
      <alignment horizontal="center" readingOrder="1"/>
    </xf>
    <xf numFmtId="0" fontId="1" fillId="2" borderId="5" xfId="0" applyFont="1" applyFill="1" applyBorder="1" applyAlignment="1">
      <alignment horizontal="center" readingOrder="1"/>
    </xf>
    <xf numFmtId="0" fontId="1" fillId="2" borderId="6" xfId="0" applyFont="1" applyFill="1" applyBorder="1" applyAlignment="1">
      <alignment horizontal="center" readingOrder="1"/>
    </xf>
    <xf numFmtId="0" fontId="1" fillId="2" borderId="7" xfId="0" applyFont="1" applyFill="1" applyBorder="1" applyAlignment="1">
      <alignment horizontal="center" readingOrder="1"/>
    </xf>
    <xf numFmtId="0" fontId="1" fillId="2" borderId="4" xfId="0" applyFont="1" applyFill="1" applyBorder="1" applyAlignment="1">
      <alignment horizontal="center" readingOrder="1"/>
    </xf>
    <xf numFmtId="0" fontId="2" fillId="0" borderId="6" xfId="0" applyFont="1" applyBorder="1" applyAlignment="1">
      <alignment horizontal="center" readingOrder="1"/>
    </xf>
    <xf numFmtId="0" fontId="0" fillId="0" borderId="6" xfId="0" applyBorder="1" applyAlignment="1">
      <alignment horizontal="center"/>
    </xf>
    <xf numFmtId="0" fontId="1" fillId="2" borderId="6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2"/>
  <sheetViews>
    <sheetView tabSelected="1" topLeftCell="X1" workbookViewId="0">
      <selection activeCell="A2" sqref="A2:XFD2"/>
    </sheetView>
  </sheetViews>
  <sheetFormatPr defaultColWidth="16.7109375" defaultRowHeight="15"/>
  <cols>
    <col min="1" max="1" width="8.5703125" style="2" customWidth="1"/>
    <col min="2" max="2" width="16.7109375" style="2"/>
    <col min="3" max="3" width="27.140625" style="2" customWidth="1"/>
    <col min="4" max="5" width="16.7109375" style="2"/>
    <col min="6" max="6" width="45.7109375" style="2" customWidth="1"/>
    <col min="7" max="7" width="35" style="2" customWidth="1"/>
    <col min="8" max="12" width="16.7109375" style="2"/>
    <col min="13" max="13" width="31.42578125" style="2" customWidth="1"/>
    <col min="14" max="14" width="42.28515625" style="2" customWidth="1"/>
    <col min="15" max="16" width="16.7109375" style="2"/>
    <col min="17" max="17" width="27.140625" style="2" bestFit="1" customWidth="1"/>
    <col min="18" max="18" width="22.28515625" style="2" customWidth="1"/>
    <col min="19" max="19" width="16.7109375" style="2"/>
    <col min="20" max="20" width="21.28515625" style="2" customWidth="1"/>
    <col min="21" max="21" width="23.42578125" style="2" customWidth="1"/>
    <col min="22" max="22" width="30.28515625" style="2" bestFit="1" customWidth="1"/>
    <col min="23" max="23" width="36.5703125" style="2" bestFit="1" customWidth="1"/>
    <col min="24" max="24" width="34.140625" style="2" bestFit="1" customWidth="1"/>
    <col min="25" max="25" width="22.28515625" style="2" customWidth="1"/>
    <col min="26" max="26" width="27.140625" style="2" customWidth="1"/>
    <col min="27" max="27" width="32" style="2" bestFit="1" customWidth="1"/>
    <col min="28" max="28" width="32.5703125" style="2" bestFit="1" customWidth="1"/>
    <col min="29" max="32" width="16.7109375" style="2"/>
    <col min="33" max="33" width="24.140625" style="2" customWidth="1"/>
    <col min="34" max="34" width="32.85546875" style="2" customWidth="1"/>
    <col min="35" max="35" width="18.7109375" style="2" customWidth="1"/>
    <col min="36" max="16384" width="16.7109375" style="2"/>
  </cols>
  <sheetData>
    <row r="1" spans="1:41" s="17" customFormat="1" ht="35.2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4" t="s">
        <v>14</v>
      </c>
      <c r="P1" s="15"/>
      <c r="Q1" s="11" t="s">
        <v>15</v>
      </c>
      <c r="R1" s="11"/>
      <c r="S1" s="15"/>
      <c r="T1" s="11"/>
      <c r="U1" s="11"/>
      <c r="V1" s="11" t="s">
        <v>16</v>
      </c>
      <c r="W1" s="11"/>
      <c r="X1" s="11"/>
      <c r="Y1" s="15"/>
      <c r="Z1" s="11"/>
      <c r="AA1" s="11"/>
      <c r="AB1" s="11"/>
      <c r="AC1" s="11" t="s">
        <v>17</v>
      </c>
      <c r="AD1" s="11"/>
      <c r="AE1" s="11"/>
      <c r="AF1" s="11"/>
      <c r="AG1" s="11"/>
      <c r="AH1" s="13" t="s">
        <v>18</v>
      </c>
      <c r="AI1" s="13" t="s">
        <v>19</v>
      </c>
      <c r="AJ1" s="16"/>
      <c r="AK1" s="16"/>
      <c r="AL1" s="16"/>
      <c r="AM1" s="16"/>
      <c r="AN1" s="16"/>
      <c r="AO1" s="16"/>
    </row>
    <row r="2" spans="1:41" s="17" customFormat="1" ht="27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 t="s">
        <v>20</v>
      </c>
      <c r="Q2" s="13" t="s">
        <v>21</v>
      </c>
      <c r="R2" s="13" t="s">
        <v>22</v>
      </c>
      <c r="S2" s="13" t="s">
        <v>23</v>
      </c>
      <c r="T2" s="13" t="s">
        <v>24</v>
      </c>
      <c r="U2" s="13" t="s">
        <v>25</v>
      </c>
      <c r="V2" s="13" t="s">
        <v>26</v>
      </c>
      <c r="W2" s="18" t="s">
        <v>27</v>
      </c>
      <c r="X2" s="13" t="s">
        <v>28</v>
      </c>
      <c r="Y2" s="13" t="s">
        <v>29</v>
      </c>
      <c r="Z2" s="13" t="s">
        <v>30</v>
      </c>
      <c r="AA2" s="13" t="s">
        <v>31</v>
      </c>
      <c r="AB2" s="13" t="s">
        <v>32</v>
      </c>
      <c r="AC2" s="13" t="s">
        <v>33</v>
      </c>
      <c r="AD2" s="13" t="s">
        <v>34</v>
      </c>
      <c r="AE2" s="13" t="s">
        <v>35</v>
      </c>
      <c r="AF2" s="13" t="s">
        <v>36</v>
      </c>
      <c r="AG2" s="18" t="s">
        <v>37</v>
      </c>
      <c r="AH2" s="13"/>
      <c r="AI2" s="13"/>
      <c r="AJ2" s="16"/>
      <c r="AK2" s="16"/>
      <c r="AL2" s="16"/>
      <c r="AM2" s="16"/>
      <c r="AN2" s="16"/>
      <c r="AO2" s="16"/>
    </row>
    <row r="3" spans="1:41">
      <c r="A3" s="8">
        <v>1</v>
      </c>
      <c r="B3" s="8">
        <v>220104020001985</v>
      </c>
      <c r="C3" s="8" t="s">
        <v>38</v>
      </c>
      <c r="D3" s="9">
        <v>38769</v>
      </c>
      <c r="E3" s="8">
        <v>19</v>
      </c>
      <c r="F3" s="8" t="s">
        <v>39</v>
      </c>
      <c r="G3" s="8" t="s">
        <v>40</v>
      </c>
      <c r="H3" s="8" t="s">
        <v>41</v>
      </c>
      <c r="I3" s="8" t="s">
        <v>42</v>
      </c>
      <c r="J3" s="8" t="s">
        <v>43</v>
      </c>
      <c r="K3" s="8" t="s">
        <v>43</v>
      </c>
      <c r="L3" s="8">
        <v>22301</v>
      </c>
      <c r="M3" s="8">
        <v>122899</v>
      </c>
      <c r="N3" s="8" t="s">
        <v>44</v>
      </c>
      <c r="O3" s="8">
        <v>7651960799</v>
      </c>
      <c r="P3" s="8">
        <v>87.66</v>
      </c>
      <c r="Q3" s="8" t="s">
        <v>45</v>
      </c>
      <c r="R3" s="8">
        <v>2020</v>
      </c>
      <c r="S3" s="8" t="s">
        <v>46</v>
      </c>
      <c r="T3" s="10">
        <v>0</v>
      </c>
      <c r="U3" s="10">
        <v>0</v>
      </c>
      <c r="V3" s="8">
        <v>88.4</v>
      </c>
      <c r="W3" s="8" t="s">
        <v>45</v>
      </c>
      <c r="X3" s="8">
        <v>2022</v>
      </c>
      <c r="Y3" s="8">
        <v>2026</v>
      </c>
      <c r="Z3" s="8" t="s">
        <v>47</v>
      </c>
      <c r="AA3" s="8">
        <v>8.41</v>
      </c>
      <c r="AB3" s="8">
        <v>9.09</v>
      </c>
      <c r="AC3" s="8">
        <v>8.84</v>
      </c>
      <c r="AD3" s="8">
        <v>8.74</v>
      </c>
      <c r="AE3" s="8">
        <v>8.14</v>
      </c>
      <c r="AF3" s="8">
        <v>8.19</v>
      </c>
      <c r="AG3" s="8">
        <v>8.57</v>
      </c>
      <c r="AH3" s="8" t="s">
        <v>48</v>
      </c>
      <c r="AI3" s="8" t="s">
        <v>49</v>
      </c>
      <c r="AJ3" s="1"/>
      <c r="AK3" s="1"/>
      <c r="AL3" s="1"/>
      <c r="AM3" s="1"/>
      <c r="AN3" s="1"/>
      <c r="AO3" s="1"/>
    </row>
    <row r="4" spans="1:41">
      <c r="A4" s="3">
        <f>A3+1</f>
        <v>2</v>
      </c>
      <c r="B4" s="3">
        <v>220104020004146</v>
      </c>
      <c r="C4" s="3" t="s">
        <v>50</v>
      </c>
      <c r="D4" s="4">
        <v>37576</v>
      </c>
      <c r="E4" s="3">
        <v>23</v>
      </c>
      <c r="F4" s="3" t="s">
        <v>39</v>
      </c>
      <c r="G4" s="3" t="s">
        <v>51</v>
      </c>
      <c r="H4" s="3" t="s">
        <v>41</v>
      </c>
      <c r="I4" s="3" t="s">
        <v>52</v>
      </c>
      <c r="J4" s="3" t="s">
        <v>43</v>
      </c>
      <c r="K4" s="3" t="s">
        <v>43</v>
      </c>
      <c r="L4" s="3">
        <v>22303</v>
      </c>
      <c r="M4" s="3">
        <v>182409</v>
      </c>
      <c r="N4" s="3" t="s">
        <v>53</v>
      </c>
      <c r="O4" s="3">
        <v>8081625814</v>
      </c>
      <c r="P4" s="3">
        <v>65</v>
      </c>
      <c r="Q4" s="3" t="s">
        <v>54</v>
      </c>
      <c r="R4" s="3">
        <v>2018</v>
      </c>
      <c r="S4" s="3" t="s">
        <v>46</v>
      </c>
      <c r="T4" s="5">
        <v>0</v>
      </c>
      <c r="U4" s="5">
        <v>0</v>
      </c>
      <c r="V4" s="3">
        <v>90</v>
      </c>
      <c r="W4" s="3" t="s">
        <v>55</v>
      </c>
      <c r="X4" s="3">
        <v>2022</v>
      </c>
      <c r="Y4" s="3">
        <v>2026</v>
      </c>
      <c r="Z4" s="3" t="s">
        <v>47</v>
      </c>
      <c r="AA4" s="3">
        <v>6.82</v>
      </c>
      <c r="AB4" s="3">
        <v>7.09</v>
      </c>
      <c r="AC4" s="3">
        <v>7.6</v>
      </c>
      <c r="AD4" s="3">
        <v>6.83</v>
      </c>
      <c r="AE4" s="3">
        <v>7.14</v>
      </c>
      <c r="AF4" s="3">
        <v>6.76</v>
      </c>
      <c r="AG4" s="3">
        <v>7.1</v>
      </c>
      <c r="AH4" s="3" t="s">
        <v>56</v>
      </c>
      <c r="AI4" s="3" t="s">
        <v>49</v>
      </c>
      <c r="AJ4" s="1"/>
      <c r="AK4" s="1"/>
      <c r="AL4" s="1"/>
      <c r="AM4" s="1"/>
      <c r="AN4" s="1"/>
      <c r="AO4" s="1"/>
    </row>
    <row r="5" spans="1:41">
      <c r="A5" s="3">
        <f t="shared" ref="A5:A42" si="0">A4+1</f>
        <v>3</v>
      </c>
      <c r="B5" s="6">
        <v>220104020006735</v>
      </c>
      <c r="C5" s="6" t="s">
        <v>57</v>
      </c>
      <c r="D5" s="7">
        <v>38075</v>
      </c>
      <c r="E5" s="6">
        <v>22</v>
      </c>
      <c r="F5" s="6" t="s">
        <v>39</v>
      </c>
      <c r="G5" s="6" t="s">
        <v>58</v>
      </c>
      <c r="H5" s="6" t="s">
        <v>41</v>
      </c>
      <c r="I5" s="6" t="s">
        <v>52</v>
      </c>
      <c r="J5" s="6" t="s">
        <v>43</v>
      </c>
      <c r="K5" s="3" t="s">
        <v>43</v>
      </c>
      <c r="L5" s="6">
        <v>22305</v>
      </c>
      <c r="M5" s="6">
        <v>124768</v>
      </c>
      <c r="N5" s="6" t="s">
        <v>59</v>
      </c>
      <c r="O5" s="6">
        <v>9519761670</v>
      </c>
      <c r="P5" s="6">
        <v>81</v>
      </c>
      <c r="Q5" s="6" t="s">
        <v>60</v>
      </c>
      <c r="R5" s="6">
        <v>2019</v>
      </c>
      <c r="S5" s="6" t="s">
        <v>46</v>
      </c>
      <c r="T5" s="5">
        <v>0</v>
      </c>
      <c r="U5" s="5">
        <v>0</v>
      </c>
      <c r="V5" s="6">
        <v>81.8</v>
      </c>
      <c r="W5" s="6" t="s">
        <v>60</v>
      </c>
      <c r="X5" s="6">
        <v>2021</v>
      </c>
      <c r="Y5" s="6">
        <v>2026</v>
      </c>
      <c r="Z5" s="6" t="s">
        <v>47</v>
      </c>
      <c r="AA5" s="6">
        <v>7.23</v>
      </c>
      <c r="AB5" s="6">
        <v>7.84</v>
      </c>
      <c r="AC5" s="6">
        <v>7.6</v>
      </c>
      <c r="AD5" s="6">
        <v>7.17</v>
      </c>
      <c r="AE5" s="6">
        <v>6.84</v>
      </c>
      <c r="AF5" s="6">
        <v>6.24</v>
      </c>
      <c r="AG5" s="6">
        <v>7.15</v>
      </c>
      <c r="AH5" s="6" t="s">
        <v>61</v>
      </c>
      <c r="AI5" s="3" t="s">
        <v>49</v>
      </c>
      <c r="AJ5" s="1"/>
      <c r="AK5" s="1"/>
      <c r="AL5" s="1"/>
      <c r="AM5" s="1"/>
      <c r="AN5" s="1"/>
      <c r="AO5" s="1"/>
    </row>
    <row r="6" spans="1:41">
      <c r="A6" s="3">
        <f t="shared" si="0"/>
        <v>4</v>
      </c>
      <c r="B6" s="3">
        <v>220104020007540</v>
      </c>
      <c r="C6" s="3" t="s">
        <v>62</v>
      </c>
      <c r="D6" s="4">
        <v>37965</v>
      </c>
      <c r="E6" s="3">
        <v>22</v>
      </c>
      <c r="F6" s="3" t="s">
        <v>39</v>
      </c>
      <c r="G6" s="3" t="s">
        <v>63</v>
      </c>
      <c r="H6" s="3" t="s">
        <v>41</v>
      </c>
      <c r="I6" s="3" t="s">
        <v>64</v>
      </c>
      <c r="J6" s="3" t="s">
        <v>43</v>
      </c>
      <c r="K6" s="3" t="s">
        <v>43</v>
      </c>
      <c r="L6" s="3">
        <v>22306</v>
      </c>
      <c r="M6" s="3">
        <v>90000</v>
      </c>
      <c r="N6" s="3" t="s">
        <v>65</v>
      </c>
      <c r="O6" s="3">
        <v>6399746507</v>
      </c>
      <c r="P6" s="3">
        <v>90.6</v>
      </c>
      <c r="Q6" s="3" t="s">
        <v>54</v>
      </c>
      <c r="R6" s="3">
        <v>2019</v>
      </c>
      <c r="S6" s="3" t="s">
        <v>46</v>
      </c>
      <c r="T6" s="5">
        <v>0</v>
      </c>
      <c r="U6" s="5">
        <v>0</v>
      </c>
      <c r="V6" s="3">
        <v>88.6</v>
      </c>
      <c r="W6" s="3" t="s">
        <v>54</v>
      </c>
      <c r="X6" s="3">
        <v>2021</v>
      </c>
      <c r="Y6" s="3">
        <v>2026</v>
      </c>
      <c r="Z6" s="3" t="s">
        <v>47</v>
      </c>
      <c r="AA6" s="3">
        <v>8.18</v>
      </c>
      <c r="AB6" s="3">
        <v>8.32</v>
      </c>
      <c r="AC6" s="3">
        <v>8.68</v>
      </c>
      <c r="AD6" s="3">
        <v>7.65</v>
      </c>
      <c r="AE6" s="3">
        <v>7.5</v>
      </c>
      <c r="AF6" s="3">
        <v>7.52</v>
      </c>
      <c r="AG6" s="3">
        <v>8</v>
      </c>
      <c r="AH6" s="3" t="s">
        <v>66</v>
      </c>
      <c r="AI6" s="3" t="s">
        <v>49</v>
      </c>
      <c r="AJ6" s="1"/>
      <c r="AK6" s="1"/>
      <c r="AL6" s="1"/>
      <c r="AM6" s="1"/>
      <c r="AN6" s="1"/>
      <c r="AO6" s="1"/>
    </row>
    <row r="7" spans="1:41">
      <c r="A7" s="3">
        <f t="shared" si="0"/>
        <v>5</v>
      </c>
      <c r="B7" s="6">
        <v>220104020007567</v>
      </c>
      <c r="C7" s="6" t="s">
        <v>67</v>
      </c>
      <c r="D7" s="7">
        <v>38576</v>
      </c>
      <c r="E7" s="6">
        <v>20</v>
      </c>
      <c r="F7" s="6" t="s">
        <v>39</v>
      </c>
      <c r="G7" s="6" t="s">
        <v>68</v>
      </c>
      <c r="H7" s="6" t="s">
        <v>41</v>
      </c>
      <c r="I7" s="6" t="s">
        <v>52</v>
      </c>
      <c r="J7" s="6" t="s">
        <v>43</v>
      </c>
      <c r="K7" s="3" t="s">
        <v>43</v>
      </c>
      <c r="L7" s="6">
        <v>22307</v>
      </c>
      <c r="M7" s="6">
        <v>72392</v>
      </c>
      <c r="N7" s="6" t="s">
        <v>69</v>
      </c>
      <c r="O7" s="6">
        <v>6307943440</v>
      </c>
      <c r="P7" s="6">
        <v>80.5</v>
      </c>
      <c r="Q7" s="6" t="s">
        <v>60</v>
      </c>
      <c r="R7" s="6">
        <v>2019</v>
      </c>
      <c r="S7" s="6" t="s">
        <v>46</v>
      </c>
      <c r="T7" s="5">
        <v>0</v>
      </c>
      <c r="U7" s="5">
        <v>0</v>
      </c>
      <c r="V7" s="6">
        <v>76</v>
      </c>
      <c r="W7" s="6" t="s">
        <v>60</v>
      </c>
      <c r="X7" s="6">
        <v>2021</v>
      </c>
      <c r="Y7" s="6">
        <v>2026</v>
      </c>
      <c r="Z7" s="6" t="s">
        <v>47</v>
      </c>
      <c r="AA7" s="6">
        <v>7.56</v>
      </c>
      <c r="AB7" s="6">
        <v>7.34</v>
      </c>
      <c r="AC7" s="6">
        <v>7.01</v>
      </c>
      <c r="AD7" s="6">
        <v>6.9</v>
      </c>
      <c r="AE7" s="6">
        <v>7.33</v>
      </c>
      <c r="AF7" s="6">
        <v>7.34</v>
      </c>
      <c r="AG7" s="6">
        <v>7.2</v>
      </c>
      <c r="AH7" s="6" t="s">
        <v>48</v>
      </c>
      <c r="AI7" s="6" t="s">
        <v>49</v>
      </c>
      <c r="AJ7" s="1"/>
      <c r="AK7" s="1"/>
      <c r="AL7" s="1"/>
      <c r="AM7" s="1"/>
      <c r="AN7" s="1"/>
      <c r="AO7" s="1"/>
    </row>
    <row r="8" spans="1:41">
      <c r="A8" s="3">
        <f t="shared" si="0"/>
        <v>6</v>
      </c>
      <c r="B8" s="3">
        <v>220104020007705</v>
      </c>
      <c r="C8" s="3" t="s">
        <v>70</v>
      </c>
      <c r="D8" s="4">
        <v>37987</v>
      </c>
      <c r="E8" s="3">
        <v>21</v>
      </c>
      <c r="F8" s="3" t="s">
        <v>39</v>
      </c>
      <c r="G8" s="3" t="s">
        <v>71</v>
      </c>
      <c r="H8" s="3" t="s">
        <v>41</v>
      </c>
      <c r="I8" s="3" t="s">
        <v>52</v>
      </c>
      <c r="J8" s="3" t="s">
        <v>43</v>
      </c>
      <c r="K8" s="3" t="s">
        <v>43</v>
      </c>
      <c r="L8" s="3">
        <v>22308</v>
      </c>
      <c r="M8" s="3">
        <v>76556</v>
      </c>
      <c r="N8" s="3" t="s">
        <v>72</v>
      </c>
      <c r="O8" s="3">
        <v>8112610027</v>
      </c>
      <c r="P8" s="3">
        <v>81.83</v>
      </c>
      <c r="Q8" s="3" t="s">
        <v>60</v>
      </c>
      <c r="R8" s="3">
        <v>2019</v>
      </c>
      <c r="S8" s="3" t="s">
        <v>46</v>
      </c>
      <c r="T8" s="5">
        <v>0</v>
      </c>
      <c r="U8" s="5">
        <v>0</v>
      </c>
      <c r="V8" s="3">
        <v>71.8</v>
      </c>
      <c r="W8" s="3" t="s">
        <v>54</v>
      </c>
      <c r="X8" s="3">
        <v>2021</v>
      </c>
      <c r="Y8" s="3">
        <v>2026</v>
      </c>
      <c r="Z8" s="3" t="s">
        <v>47</v>
      </c>
      <c r="AA8" s="3">
        <v>5.64</v>
      </c>
      <c r="AB8" s="3">
        <v>6.36</v>
      </c>
      <c r="AC8" s="3">
        <v>6.32</v>
      </c>
      <c r="AD8" s="3">
        <v>6.22</v>
      </c>
      <c r="AE8" s="3">
        <v>6.5</v>
      </c>
      <c r="AF8" s="3">
        <v>6.33</v>
      </c>
      <c r="AG8" s="3">
        <v>6.23</v>
      </c>
      <c r="AH8" s="3" t="s">
        <v>73</v>
      </c>
      <c r="AI8" s="3" t="s">
        <v>49</v>
      </c>
      <c r="AJ8" s="1"/>
      <c r="AK8" s="1"/>
      <c r="AL8" s="1"/>
      <c r="AM8" s="1"/>
      <c r="AN8" s="1"/>
      <c r="AO8" s="1"/>
    </row>
    <row r="9" spans="1:41">
      <c r="A9" s="3">
        <f t="shared" si="0"/>
        <v>7</v>
      </c>
      <c r="B9" s="3">
        <v>220104020008589</v>
      </c>
      <c r="C9" s="3" t="s">
        <v>74</v>
      </c>
      <c r="D9" s="4">
        <v>37443</v>
      </c>
      <c r="E9" s="3">
        <v>23</v>
      </c>
      <c r="F9" s="3" t="s">
        <v>39</v>
      </c>
      <c r="G9" s="3" t="s">
        <v>75</v>
      </c>
      <c r="H9" s="3" t="s">
        <v>41</v>
      </c>
      <c r="I9" s="3" t="s">
        <v>52</v>
      </c>
      <c r="J9" s="3" t="s">
        <v>43</v>
      </c>
      <c r="K9" s="3" t="s">
        <v>43</v>
      </c>
      <c r="L9" s="3">
        <v>22311</v>
      </c>
      <c r="M9" s="3">
        <v>155000</v>
      </c>
      <c r="N9" s="3" t="s">
        <v>76</v>
      </c>
      <c r="O9" s="3">
        <v>6387573478</v>
      </c>
      <c r="P9" s="3">
        <v>85.16</v>
      </c>
      <c r="Q9" s="3" t="s">
        <v>60</v>
      </c>
      <c r="R9" s="3">
        <v>2018</v>
      </c>
      <c r="S9" s="3" t="s">
        <v>46</v>
      </c>
      <c r="T9" s="5">
        <v>0</v>
      </c>
      <c r="U9" s="5">
        <v>0</v>
      </c>
      <c r="V9" s="3">
        <v>70.599999999999994</v>
      </c>
      <c r="W9" s="3" t="s">
        <v>60</v>
      </c>
      <c r="X9" s="3">
        <v>2020</v>
      </c>
      <c r="Y9" s="3">
        <v>2026</v>
      </c>
      <c r="Z9" s="3" t="s">
        <v>47</v>
      </c>
      <c r="AA9" s="3">
        <v>7.55</v>
      </c>
      <c r="AB9" s="3">
        <v>8.0500000000000007</v>
      </c>
      <c r="AC9" s="3">
        <v>7.72</v>
      </c>
      <c r="AD9" s="3">
        <v>7.57</v>
      </c>
      <c r="AE9" s="3">
        <v>8.09</v>
      </c>
      <c r="AF9" s="3">
        <v>8.76</v>
      </c>
      <c r="AG9" s="3">
        <v>7.95</v>
      </c>
      <c r="AH9" s="3" t="s">
        <v>48</v>
      </c>
      <c r="AI9" s="3" t="s">
        <v>49</v>
      </c>
      <c r="AJ9" s="1"/>
      <c r="AK9" s="1"/>
      <c r="AL9" s="1"/>
      <c r="AM9" s="1"/>
      <c r="AN9" s="1"/>
      <c r="AO9" s="1"/>
    </row>
    <row r="10" spans="1:41">
      <c r="A10" s="3">
        <f t="shared" si="0"/>
        <v>8</v>
      </c>
      <c r="B10" s="3">
        <v>220104020009154</v>
      </c>
      <c r="C10" s="3" t="s">
        <v>77</v>
      </c>
      <c r="D10" s="4">
        <v>38635</v>
      </c>
      <c r="E10" s="3">
        <v>19</v>
      </c>
      <c r="F10" s="3" t="s">
        <v>39</v>
      </c>
      <c r="G10" s="3" t="s">
        <v>78</v>
      </c>
      <c r="H10" s="3" t="s">
        <v>41</v>
      </c>
      <c r="I10" s="3" t="s">
        <v>42</v>
      </c>
      <c r="J10" s="3" t="s">
        <v>43</v>
      </c>
      <c r="K10" s="3" t="s">
        <v>43</v>
      </c>
      <c r="L10" s="3">
        <v>22312</v>
      </c>
      <c r="M10" s="3">
        <v>78106</v>
      </c>
      <c r="N10" s="3" t="s">
        <v>79</v>
      </c>
      <c r="O10" s="3">
        <v>9569199801</v>
      </c>
      <c r="P10" s="3">
        <v>92.8</v>
      </c>
      <c r="Q10" s="3" t="s">
        <v>54</v>
      </c>
      <c r="R10" s="3">
        <v>2019</v>
      </c>
      <c r="S10" s="3" t="s">
        <v>46</v>
      </c>
      <c r="T10" s="5">
        <v>0</v>
      </c>
      <c r="U10" s="5">
        <v>0</v>
      </c>
      <c r="V10" s="3">
        <v>87.6</v>
      </c>
      <c r="W10" s="3" t="s">
        <v>54</v>
      </c>
      <c r="X10" s="3">
        <v>2021</v>
      </c>
      <c r="Y10" s="3">
        <v>2026</v>
      </c>
      <c r="Z10" s="3" t="s">
        <v>47</v>
      </c>
      <c r="AA10" s="3">
        <v>8.59</v>
      </c>
      <c r="AB10" s="3">
        <v>8.68</v>
      </c>
      <c r="AC10" s="3">
        <v>8.4</v>
      </c>
      <c r="AD10" s="3">
        <v>7.96</v>
      </c>
      <c r="AE10" s="3">
        <v>8.32</v>
      </c>
      <c r="AF10" s="3">
        <v>8.19</v>
      </c>
      <c r="AG10" s="3">
        <v>8.36</v>
      </c>
      <c r="AH10" s="3" t="s">
        <v>80</v>
      </c>
      <c r="AI10" s="3" t="s">
        <v>49</v>
      </c>
      <c r="AJ10" s="1"/>
      <c r="AK10" s="1"/>
      <c r="AL10" s="1"/>
      <c r="AM10" s="1"/>
      <c r="AN10" s="1"/>
      <c r="AO10" s="1"/>
    </row>
    <row r="11" spans="1:41">
      <c r="A11" s="3">
        <f t="shared" si="0"/>
        <v>9</v>
      </c>
      <c r="B11" s="3">
        <v>220104020011341</v>
      </c>
      <c r="C11" s="3" t="s">
        <v>81</v>
      </c>
      <c r="D11" s="4">
        <v>38353</v>
      </c>
      <c r="E11" s="3">
        <v>20</v>
      </c>
      <c r="F11" s="3" t="s">
        <v>39</v>
      </c>
      <c r="G11" s="3" t="s">
        <v>82</v>
      </c>
      <c r="H11" s="3" t="s">
        <v>41</v>
      </c>
      <c r="I11" s="3" t="s">
        <v>42</v>
      </c>
      <c r="J11" s="3" t="s">
        <v>43</v>
      </c>
      <c r="K11" s="3" t="s">
        <v>43</v>
      </c>
      <c r="L11" s="3">
        <v>22316</v>
      </c>
      <c r="M11" s="3">
        <v>87613</v>
      </c>
      <c r="N11" s="3" t="s">
        <v>83</v>
      </c>
      <c r="O11" s="3">
        <v>7394030161</v>
      </c>
      <c r="P11" s="3">
        <v>81.5</v>
      </c>
      <c r="Q11" s="3" t="s">
        <v>60</v>
      </c>
      <c r="R11" s="3">
        <v>2020</v>
      </c>
      <c r="S11" s="3" t="s">
        <v>46</v>
      </c>
      <c r="T11" s="5">
        <v>0</v>
      </c>
      <c r="U11" s="5">
        <v>0</v>
      </c>
      <c r="V11" s="3">
        <v>69.8</v>
      </c>
      <c r="W11" s="3" t="s">
        <v>60</v>
      </c>
      <c r="X11" s="3">
        <v>2022</v>
      </c>
      <c r="Y11" s="3">
        <v>2026</v>
      </c>
      <c r="Z11" s="3" t="s">
        <v>47</v>
      </c>
      <c r="AA11" s="3">
        <v>6.32</v>
      </c>
      <c r="AB11" s="3">
        <v>6.82</v>
      </c>
      <c r="AC11" s="3">
        <v>6.64</v>
      </c>
      <c r="AD11" s="3">
        <v>6.57</v>
      </c>
      <c r="AE11" s="3">
        <v>6.05</v>
      </c>
      <c r="AF11" s="3">
        <v>6.19</v>
      </c>
      <c r="AG11" s="3">
        <v>6.5</v>
      </c>
      <c r="AH11" s="3" t="s">
        <v>84</v>
      </c>
      <c r="AI11" s="3" t="s">
        <v>85</v>
      </c>
      <c r="AJ11" s="1"/>
      <c r="AK11" s="1"/>
      <c r="AL11" s="1"/>
      <c r="AM11" s="1"/>
      <c r="AN11" s="1"/>
      <c r="AO11" s="1"/>
    </row>
    <row r="12" spans="1:41">
      <c r="A12" s="3">
        <f t="shared" si="0"/>
        <v>10</v>
      </c>
      <c r="B12" s="6">
        <v>220104020012685</v>
      </c>
      <c r="C12" s="6" t="s">
        <v>86</v>
      </c>
      <c r="D12" s="7">
        <v>38072</v>
      </c>
      <c r="E12" s="6">
        <v>21</v>
      </c>
      <c r="F12" s="6" t="s">
        <v>39</v>
      </c>
      <c r="G12" s="6" t="s">
        <v>87</v>
      </c>
      <c r="H12" s="6" t="s">
        <v>88</v>
      </c>
      <c r="I12" s="6" t="s">
        <v>52</v>
      </c>
      <c r="J12" s="6" t="s">
        <v>89</v>
      </c>
      <c r="K12" s="3" t="s">
        <v>43</v>
      </c>
      <c r="L12" s="6">
        <v>22317</v>
      </c>
      <c r="M12" s="6">
        <v>122000</v>
      </c>
      <c r="N12" s="6" t="s">
        <v>90</v>
      </c>
      <c r="O12" s="6">
        <v>8887944793</v>
      </c>
      <c r="P12" s="6">
        <v>90.5</v>
      </c>
      <c r="Q12" s="6" t="s">
        <v>91</v>
      </c>
      <c r="R12" s="6">
        <v>2018</v>
      </c>
      <c r="S12" s="6" t="s">
        <v>46</v>
      </c>
      <c r="T12" s="5">
        <v>0</v>
      </c>
      <c r="U12" s="5">
        <v>0</v>
      </c>
      <c r="V12" s="6">
        <v>83.4</v>
      </c>
      <c r="W12" s="6" t="s">
        <v>91</v>
      </c>
      <c r="X12" s="6">
        <v>2020</v>
      </c>
      <c r="Y12" s="6">
        <v>2026</v>
      </c>
      <c r="Z12" s="6" t="s">
        <v>47</v>
      </c>
      <c r="AA12" s="6">
        <v>8.3000000000000007</v>
      </c>
      <c r="AB12" s="6">
        <v>9.09</v>
      </c>
      <c r="AC12" s="6">
        <v>8.56</v>
      </c>
      <c r="AD12" s="6">
        <v>8.3000000000000007</v>
      </c>
      <c r="AE12" s="6">
        <v>8.27</v>
      </c>
      <c r="AF12" s="6">
        <v>7.81</v>
      </c>
      <c r="AG12" s="6">
        <v>8.3949999999999996</v>
      </c>
      <c r="AH12" s="6" t="s">
        <v>92</v>
      </c>
      <c r="AI12" s="3" t="s">
        <v>49</v>
      </c>
      <c r="AJ12" s="1"/>
      <c r="AK12" s="1"/>
      <c r="AL12" s="1"/>
      <c r="AM12" s="1"/>
      <c r="AN12" s="1"/>
      <c r="AO12" s="1"/>
    </row>
    <row r="13" spans="1:41">
      <c r="A13" s="3">
        <f t="shared" si="0"/>
        <v>11</v>
      </c>
      <c r="B13" s="6">
        <v>220104020012775</v>
      </c>
      <c r="C13" s="6" t="s">
        <v>93</v>
      </c>
      <c r="D13" s="7">
        <v>37678</v>
      </c>
      <c r="E13" s="6">
        <v>22</v>
      </c>
      <c r="F13" s="6" t="s">
        <v>39</v>
      </c>
      <c r="G13" s="6" t="s">
        <v>94</v>
      </c>
      <c r="H13" s="6" t="s">
        <v>41</v>
      </c>
      <c r="I13" s="6" t="s">
        <v>42</v>
      </c>
      <c r="J13" s="6" t="s">
        <v>43</v>
      </c>
      <c r="K13" s="3" t="s">
        <v>43</v>
      </c>
      <c r="L13" s="6">
        <v>22318</v>
      </c>
      <c r="M13" s="6">
        <v>108000</v>
      </c>
      <c r="N13" s="6" t="s">
        <v>95</v>
      </c>
      <c r="O13" s="6">
        <v>7409830883</v>
      </c>
      <c r="P13" s="6">
        <v>72.599999999999994</v>
      </c>
      <c r="Q13" s="6" t="s">
        <v>54</v>
      </c>
      <c r="R13" s="6">
        <v>2018</v>
      </c>
      <c r="S13" s="6" t="s">
        <v>46</v>
      </c>
      <c r="T13" s="5">
        <v>0</v>
      </c>
      <c r="U13" s="5">
        <v>0</v>
      </c>
      <c r="V13" s="6">
        <v>73.599999999999994</v>
      </c>
      <c r="W13" s="6" t="s">
        <v>54</v>
      </c>
      <c r="X13" s="6">
        <v>2020</v>
      </c>
      <c r="Y13" s="6">
        <v>2026</v>
      </c>
      <c r="Z13" s="6" t="s">
        <v>47</v>
      </c>
      <c r="AA13" s="6">
        <v>7.36</v>
      </c>
      <c r="AB13" s="6">
        <v>7.36</v>
      </c>
      <c r="AC13" s="6">
        <v>7.36</v>
      </c>
      <c r="AD13" s="6">
        <v>5.98</v>
      </c>
      <c r="AE13" s="6">
        <v>6.32</v>
      </c>
      <c r="AF13" s="6">
        <v>6.18</v>
      </c>
      <c r="AG13" s="6">
        <v>6.76</v>
      </c>
      <c r="AH13" s="6" t="s">
        <v>96</v>
      </c>
      <c r="AI13" s="6" t="s">
        <v>49</v>
      </c>
      <c r="AJ13" s="1"/>
      <c r="AK13" s="1"/>
      <c r="AL13" s="1"/>
      <c r="AM13" s="1"/>
      <c r="AN13" s="1"/>
      <c r="AO13" s="1"/>
    </row>
    <row r="14" spans="1:41">
      <c r="A14" s="3">
        <f t="shared" si="0"/>
        <v>12</v>
      </c>
      <c r="B14" s="6">
        <v>220104020017110</v>
      </c>
      <c r="C14" s="6" t="s">
        <v>97</v>
      </c>
      <c r="D14" s="7">
        <v>38644</v>
      </c>
      <c r="E14" s="6">
        <v>20</v>
      </c>
      <c r="F14" s="6" t="s">
        <v>39</v>
      </c>
      <c r="G14" s="6" t="s">
        <v>98</v>
      </c>
      <c r="H14" s="6" t="s">
        <v>41</v>
      </c>
      <c r="I14" s="6" t="s">
        <v>64</v>
      </c>
      <c r="J14" s="6" t="s">
        <v>43</v>
      </c>
      <c r="K14" s="3" t="s">
        <v>43</v>
      </c>
      <c r="L14" s="6">
        <v>22319</v>
      </c>
      <c r="M14" s="6">
        <v>250448</v>
      </c>
      <c r="N14" s="6" t="s">
        <v>99</v>
      </c>
      <c r="O14" s="6">
        <v>8881399000</v>
      </c>
      <c r="P14" s="6">
        <v>87.5</v>
      </c>
      <c r="Q14" s="6" t="s">
        <v>54</v>
      </c>
      <c r="R14" s="6">
        <v>2020</v>
      </c>
      <c r="S14" s="6" t="s">
        <v>46</v>
      </c>
      <c r="T14" s="5">
        <v>0</v>
      </c>
      <c r="U14" s="5">
        <v>0</v>
      </c>
      <c r="V14" s="6">
        <v>77.599999999999994</v>
      </c>
      <c r="W14" s="6" t="s">
        <v>54</v>
      </c>
      <c r="X14" s="6">
        <v>2022</v>
      </c>
      <c r="Y14" s="6">
        <v>2026</v>
      </c>
      <c r="Z14" s="6" t="s">
        <v>47</v>
      </c>
      <c r="AA14" s="6">
        <v>7.91</v>
      </c>
      <c r="AB14" s="6">
        <v>8.14</v>
      </c>
      <c r="AC14" s="6">
        <v>8.4</v>
      </c>
      <c r="AD14" s="6">
        <v>7.39</v>
      </c>
      <c r="AE14" s="6">
        <v>7.45</v>
      </c>
      <c r="AF14" s="6">
        <v>8.33</v>
      </c>
      <c r="AG14" s="6">
        <v>7.94</v>
      </c>
      <c r="AH14" s="6" t="s">
        <v>100</v>
      </c>
      <c r="AI14" s="6" t="s">
        <v>49</v>
      </c>
      <c r="AJ14" s="1"/>
      <c r="AK14" s="1"/>
      <c r="AL14" s="1"/>
      <c r="AM14" s="1"/>
      <c r="AN14" s="1"/>
      <c r="AO14" s="1"/>
    </row>
    <row r="15" spans="1:41">
      <c r="A15" s="3">
        <f t="shared" si="0"/>
        <v>13</v>
      </c>
      <c r="B15" s="6">
        <v>220104020019111</v>
      </c>
      <c r="C15" s="6" t="s">
        <v>101</v>
      </c>
      <c r="D15" s="7">
        <v>37938</v>
      </c>
      <c r="E15" s="6">
        <v>22</v>
      </c>
      <c r="F15" s="6" t="s">
        <v>39</v>
      </c>
      <c r="G15" s="6" t="s">
        <v>102</v>
      </c>
      <c r="H15" s="6" t="s">
        <v>88</v>
      </c>
      <c r="I15" s="6" t="s">
        <v>42</v>
      </c>
      <c r="J15" s="6" t="s">
        <v>43</v>
      </c>
      <c r="K15" s="3" t="s">
        <v>43</v>
      </c>
      <c r="L15" s="6">
        <v>22320</v>
      </c>
      <c r="M15" s="6">
        <v>157079</v>
      </c>
      <c r="N15" s="6" t="s">
        <v>103</v>
      </c>
      <c r="O15" s="6">
        <v>7317034236</v>
      </c>
      <c r="P15" s="6">
        <v>97.6</v>
      </c>
      <c r="Q15" s="6" t="s">
        <v>54</v>
      </c>
      <c r="R15" s="6">
        <v>2020</v>
      </c>
      <c r="S15" s="6" t="s">
        <v>46</v>
      </c>
      <c r="T15" s="5">
        <v>0</v>
      </c>
      <c r="U15" s="5">
        <v>0</v>
      </c>
      <c r="V15" s="6">
        <v>92.2</v>
      </c>
      <c r="W15" s="6" t="s">
        <v>54</v>
      </c>
      <c r="X15" s="6">
        <v>2022</v>
      </c>
      <c r="Y15" s="6">
        <v>2026</v>
      </c>
      <c r="Z15" s="6" t="s">
        <v>47</v>
      </c>
      <c r="AA15" s="6">
        <v>8.4499999999999993</v>
      </c>
      <c r="AB15" s="6">
        <v>8.68</v>
      </c>
      <c r="AC15" s="6">
        <v>9.1199999999999992</v>
      </c>
      <c r="AD15" s="6">
        <v>8.09</v>
      </c>
      <c r="AE15" s="6">
        <v>8.41</v>
      </c>
      <c r="AF15" s="6">
        <v>8.9499999999999993</v>
      </c>
      <c r="AG15" s="6">
        <v>8.6199999999999992</v>
      </c>
      <c r="AH15" s="6" t="s">
        <v>104</v>
      </c>
      <c r="AI15" s="6" t="s">
        <v>49</v>
      </c>
      <c r="AJ15" s="1"/>
      <c r="AK15" s="1"/>
      <c r="AL15" s="1"/>
      <c r="AM15" s="1"/>
      <c r="AN15" s="1"/>
      <c r="AO15" s="1"/>
    </row>
    <row r="16" spans="1:41">
      <c r="A16" s="3">
        <f t="shared" si="0"/>
        <v>14</v>
      </c>
      <c r="B16" s="6">
        <v>220104020022240</v>
      </c>
      <c r="C16" s="6" t="s">
        <v>105</v>
      </c>
      <c r="D16" s="7">
        <v>38173</v>
      </c>
      <c r="E16" s="6">
        <v>21</v>
      </c>
      <c r="F16" s="6" t="s">
        <v>39</v>
      </c>
      <c r="G16" s="6" t="s">
        <v>106</v>
      </c>
      <c r="H16" s="6" t="s">
        <v>41</v>
      </c>
      <c r="I16" s="6" t="s">
        <v>52</v>
      </c>
      <c r="J16" s="6" t="s">
        <v>43</v>
      </c>
      <c r="K16" s="3" t="s">
        <v>43</v>
      </c>
      <c r="L16" s="6">
        <v>22321</v>
      </c>
      <c r="M16" s="6">
        <v>153831</v>
      </c>
      <c r="N16" s="6" t="s">
        <v>107</v>
      </c>
      <c r="O16" s="6">
        <v>9936042325</v>
      </c>
      <c r="P16" s="6">
        <v>83.3</v>
      </c>
      <c r="Q16" s="6" t="s">
        <v>60</v>
      </c>
      <c r="R16" s="6">
        <v>2019</v>
      </c>
      <c r="S16" s="6" t="s">
        <v>46</v>
      </c>
      <c r="T16" s="5">
        <v>0</v>
      </c>
      <c r="U16" s="5">
        <v>0</v>
      </c>
      <c r="V16" s="6">
        <v>87</v>
      </c>
      <c r="W16" s="6" t="s">
        <v>60</v>
      </c>
      <c r="X16" s="6">
        <v>2021</v>
      </c>
      <c r="Y16" s="6">
        <v>2026</v>
      </c>
      <c r="Z16" s="6" t="s">
        <v>47</v>
      </c>
      <c r="AA16" s="6">
        <v>8.32</v>
      </c>
      <c r="AB16" s="6">
        <v>8.0500000000000007</v>
      </c>
      <c r="AC16" s="6">
        <v>8.4</v>
      </c>
      <c r="AD16" s="6">
        <v>7.32</v>
      </c>
      <c r="AE16" s="6">
        <v>7.27</v>
      </c>
      <c r="AF16" s="6">
        <v>7.57</v>
      </c>
      <c r="AG16" s="6">
        <v>7.81</v>
      </c>
      <c r="AH16" s="6" t="s">
        <v>84</v>
      </c>
      <c r="AI16" s="6" t="s">
        <v>49</v>
      </c>
      <c r="AJ16" s="1"/>
      <c r="AK16" s="1"/>
      <c r="AL16" s="1"/>
      <c r="AM16" s="1"/>
      <c r="AN16" s="1"/>
      <c r="AO16" s="1"/>
    </row>
    <row r="17" spans="1:41">
      <c r="A17" s="3">
        <f t="shared" si="0"/>
        <v>15</v>
      </c>
      <c r="B17" s="6">
        <v>220104020025529</v>
      </c>
      <c r="C17" s="6" t="s">
        <v>108</v>
      </c>
      <c r="D17" s="7">
        <v>37917</v>
      </c>
      <c r="E17" s="6">
        <v>22</v>
      </c>
      <c r="F17" s="6" t="s">
        <v>39</v>
      </c>
      <c r="G17" s="6" t="s">
        <v>109</v>
      </c>
      <c r="H17" s="6" t="s">
        <v>41</v>
      </c>
      <c r="I17" s="6" t="s">
        <v>52</v>
      </c>
      <c r="J17" s="6" t="s">
        <v>43</v>
      </c>
      <c r="K17" s="3" t="s">
        <v>43</v>
      </c>
      <c r="L17" s="6">
        <v>22322</v>
      </c>
      <c r="M17" s="6">
        <v>90000</v>
      </c>
      <c r="N17" s="6" t="s">
        <v>110</v>
      </c>
      <c r="O17" s="6">
        <v>7388490423</v>
      </c>
      <c r="P17" s="6">
        <v>80.2</v>
      </c>
      <c r="Q17" s="6" t="s">
        <v>54</v>
      </c>
      <c r="R17" s="6">
        <v>2018</v>
      </c>
      <c r="S17" s="6" t="s">
        <v>46</v>
      </c>
      <c r="T17" s="5">
        <v>0</v>
      </c>
      <c r="U17" s="5">
        <v>0</v>
      </c>
      <c r="V17" s="6">
        <v>73.8</v>
      </c>
      <c r="W17" s="6" t="s">
        <v>54</v>
      </c>
      <c r="X17" s="6">
        <v>2020</v>
      </c>
      <c r="Y17" s="6">
        <v>2026</v>
      </c>
      <c r="Z17" s="6" t="s">
        <v>47</v>
      </c>
      <c r="AA17" s="6">
        <v>7.68</v>
      </c>
      <c r="AB17" s="6">
        <v>8</v>
      </c>
      <c r="AC17" s="6">
        <v>7.76</v>
      </c>
      <c r="AD17" s="6">
        <v>7.13</v>
      </c>
      <c r="AE17" s="6">
        <v>7.64</v>
      </c>
      <c r="AF17" s="6">
        <v>6.81</v>
      </c>
      <c r="AG17" s="6">
        <v>7.51</v>
      </c>
      <c r="AH17" s="6" t="s">
        <v>111</v>
      </c>
      <c r="AI17" s="6" t="s">
        <v>49</v>
      </c>
      <c r="AJ17" s="1"/>
      <c r="AK17" s="1"/>
      <c r="AL17" s="1"/>
      <c r="AM17" s="1"/>
      <c r="AN17" s="1"/>
      <c r="AO17" s="1"/>
    </row>
    <row r="18" spans="1:41">
      <c r="A18" s="3">
        <f t="shared" si="0"/>
        <v>16</v>
      </c>
      <c r="B18" s="3">
        <v>220104020032797</v>
      </c>
      <c r="C18" s="3" t="s">
        <v>112</v>
      </c>
      <c r="D18" s="4">
        <v>37814</v>
      </c>
      <c r="E18" s="3">
        <v>22</v>
      </c>
      <c r="F18" s="3" t="s">
        <v>39</v>
      </c>
      <c r="G18" s="3" t="s">
        <v>113</v>
      </c>
      <c r="H18" s="3" t="s">
        <v>41</v>
      </c>
      <c r="I18" s="3" t="s">
        <v>64</v>
      </c>
      <c r="J18" s="3" t="s">
        <v>43</v>
      </c>
      <c r="K18" s="3" t="s">
        <v>43</v>
      </c>
      <c r="L18" s="3">
        <v>22324</v>
      </c>
      <c r="M18" s="3">
        <v>150000</v>
      </c>
      <c r="N18" s="3" t="s">
        <v>114</v>
      </c>
      <c r="O18" s="3">
        <v>6306925612</v>
      </c>
      <c r="P18" s="3">
        <v>73.8</v>
      </c>
      <c r="Q18" s="3" t="s">
        <v>54</v>
      </c>
      <c r="R18" s="3">
        <v>2018</v>
      </c>
      <c r="S18" s="3" t="s">
        <v>46</v>
      </c>
      <c r="T18" s="5">
        <v>0</v>
      </c>
      <c r="U18" s="5">
        <v>0</v>
      </c>
      <c r="V18" s="3">
        <v>81.8</v>
      </c>
      <c r="W18" s="3" t="s">
        <v>54</v>
      </c>
      <c r="X18" s="3">
        <v>2020</v>
      </c>
      <c r="Y18" s="3">
        <v>2026</v>
      </c>
      <c r="Z18" s="3" t="s">
        <v>47</v>
      </c>
      <c r="AA18" s="3">
        <v>6.09</v>
      </c>
      <c r="AB18" s="3">
        <v>7.36</v>
      </c>
      <c r="AC18" s="3">
        <v>7.8</v>
      </c>
      <c r="AD18" s="3">
        <v>7.26</v>
      </c>
      <c r="AE18" s="3">
        <v>7.73</v>
      </c>
      <c r="AF18" s="3">
        <v>8.33</v>
      </c>
      <c r="AG18" s="3">
        <v>7.42</v>
      </c>
      <c r="AH18" s="3" t="s">
        <v>115</v>
      </c>
      <c r="AI18" s="3" t="s">
        <v>49</v>
      </c>
      <c r="AJ18" s="1"/>
      <c r="AK18" s="1"/>
      <c r="AL18" s="1"/>
      <c r="AM18" s="1"/>
      <c r="AN18" s="1"/>
      <c r="AO18" s="1"/>
    </row>
    <row r="19" spans="1:41">
      <c r="A19" s="3">
        <f t="shared" si="0"/>
        <v>17</v>
      </c>
      <c r="B19" s="3">
        <v>220104020033488</v>
      </c>
      <c r="C19" s="3" t="s">
        <v>116</v>
      </c>
      <c r="D19" s="4">
        <v>38197</v>
      </c>
      <c r="E19" s="3">
        <v>21</v>
      </c>
      <c r="F19" s="3" t="s">
        <v>39</v>
      </c>
      <c r="G19" s="3" t="s">
        <v>117</v>
      </c>
      <c r="H19" s="3" t="s">
        <v>41</v>
      </c>
      <c r="I19" s="3" t="s">
        <v>52</v>
      </c>
      <c r="J19" s="3" t="s">
        <v>43</v>
      </c>
      <c r="K19" s="3" t="s">
        <v>43</v>
      </c>
      <c r="L19" s="3">
        <v>22325</v>
      </c>
      <c r="M19" s="3">
        <v>200000</v>
      </c>
      <c r="N19" s="3" t="s">
        <v>118</v>
      </c>
      <c r="O19" s="3">
        <v>9648597889</v>
      </c>
      <c r="P19" s="3">
        <v>93.4</v>
      </c>
      <c r="Q19" s="3" t="s">
        <v>119</v>
      </c>
      <c r="R19" s="3">
        <v>2019</v>
      </c>
      <c r="S19" s="3" t="s">
        <v>46</v>
      </c>
      <c r="T19" s="5">
        <v>0</v>
      </c>
      <c r="U19" s="5">
        <v>0</v>
      </c>
      <c r="V19" s="3">
        <v>91.2</v>
      </c>
      <c r="W19" s="3" t="s">
        <v>119</v>
      </c>
      <c r="X19" s="3">
        <v>2021</v>
      </c>
      <c r="Y19" s="3">
        <v>2026</v>
      </c>
      <c r="Z19" s="3" t="s">
        <v>47</v>
      </c>
      <c r="AA19" s="3">
        <v>6.68</v>
      </c>
      <c r="AB19" s="3">
        <v>6.82</v>
      </c>
      <c r="AC19" s="3">
        <v>6.5</v>
      </c>
      <c r="AD19" s="3">
        <v>6.34</v>
      </c>
      <c r="AE19" s="3">
        <v>6.95</v>
      </c>
      <c r="AF19" s="3">
        <v>5.76</v>
      </c>
      <c r="AG19" s="3">
        <v>6.5</v>
      </c>
      <c r="AH19" s="3" t="s">
        <v>111</v>
      </c>
      <c r="AI19" s="3" t="s">
        <v>49</v>
      </c>
      <c r="AJ19" s="1"/>
      <c r="AK19" s="1"/>
      <c r="AL19" s="1"/>
      <c r="AM19" s="1"/>
      <c r="AN19" s="1"/>
      <c r="AO19" s="1"/>
    </row>
    <row r="20" spans="1:41">
      <c r="A20" s="3">
        <f t="shared" si="0"/>
        <v>18</v>
      </c>
      <c r="B20" s="6">
        <v>220104020036049</v>
      </c>
      <c r="C20" s="6" t="s">
        <v>120</v>
      </c>
      <c r="D20" s="7">
        <v>38254</v>
      </c>
      <c r="E20" s="6">
        <v>21</v>
      </c>
      <c r="F20" s="6" t="s">
        <v>39</v>
      </c>
      <c r="G20" s="6" t="s">
        <v>121</v>
      </c>
      <c r="H20" s="6" t="s">
        <v>41</v>
      </c>
      <c r="I20" s="6" t="s">
        <v>64</v>
      </c>
      <c r="J20" s="6" t="s">
        <v>43</v>
      </c>
      <c r="K20" s="3" t="s">
        <v>43</v>
      </c>
      <c r="L20" s="6">
        <v>22326</v>
      </c>
      <c r="M20" s="6">
        <v>160103</v>
      </c>
      <c r="N20" s="6" t="s">
        <v>122</v>
      </c>
      <c r="O20" s="6">
        <v>9118269573</v>
      </c>
      <c r="P20" s="6">
        <v>79.2</v>
      </c>
      <c r="Q20" s="6" t="s">
        <v>54</v>
      </c>
      <c r="R20" s="6">
        <v>2018</v>
      </c>
      <c r="S20" s="6" t="s">
        <v>46</v>
      </c>
      <c r="T20" s="5">
        <v>0</v>
      </c>
      <c r="U20" s="5">
        <v>0</v>
      </c>
      <c r="V20" s="6">
        <v>79</v>
      </c>
      <c r="W20" s="6" t="s">
        <v>54</v>
      </c>
      <c r="X20" s="6">
        <v>2020</v>
      </c>
      <c r="Y20" s="6">
        <v>2026</v>
      </c>
      <c r="Z20" s="6" t="s">
        <v>47</v>
      </c>
      <c r="AA20" s="6">
        <v>6.36</v>
      </c>
      <c r="AB20" s="6">
        <v>7.82</v>
      </c>
      <c r="AC20" s="6">
        <v>7.64</v>
      </c>
      <c r="AD20" s="6">
        <v>6.52</v>
      </c>
      <c r="AE20" s="6">
        <v>5.27</v>
      </c>
      <c r="AF20" s="6">
        <v>5.9</v>
      </c>
      <c r="AG20" s="6">
        <v>6.56</v>
      </c>
      <c r="AH20" s="6" t="s">
        <v>123</v>
      </c>
      <c r="AI20" s="6" t="s">
        <v>49</v>
      </c>
      <c r="AJ20" s="1"/>
      <c r="AK20" s="1"/>
      <c r="AL20" s="1"/>
      <c r="AM20" s="1"/>
      <c r="AN20" s="1"/>
      <c r="AO20" s="1"/>
    </row>
    <row r="21" spans="1:41">
      <c r="A21" s="3">
        <f t="shared" si="0"/>
        <v>19</v>
      </c>
      <c r="B21" s="6">
        <v>220104020038954</v>
      </c>
      <c r="C21" s="6" t="s">
        <v>124</v>
      </c>
      <c r="D21" s="7">
        <v>38314</v>
      </c>
      <c r="E21" s="6">
        <v>21</v>
      </c>
      <c r="F21" s="6" t="s">
        <v>39</v>
      </c>
      <c r="G21" s="6" t="s">
        <v>125</v>
      </c>
      <c r="H21" s="6" t="s">
        <v>88</v>
      </c>
      <c r="I21" s="6" t="s">
        <v>42</v>
      </c>
      <c r="J21" s="6" t="s">
        <v>43</v>
      </c>
      <c r="K21" s="3" t="s">
        <v>43</v>
      </c>
      <c r="L21" s="6">
        <v>22327</v>
      </c>
      <c r="M21" s="6">
        <v>76318</v>
      </c>
      <c r="N21" s="6" t="s">
        <v>126</v>
      </c>
      <c r="O21" s="6">
        <v>7668450157</v>
      </c>
      <c r="P21" s="6">
        <v>86</v>
      </c>
      <c r="Q21" s="6" t="s">
        <v>54</v>
      </c>
      <c r="R21" s="6">
        <v>2019</v>
      </c>
      <c r="S21" s="6" t="s">
        <v>46</v>
      </c>
      <c r="T21" s="5">
        <v>0</v>
      </c>
      <c r="U21" s="5">
        <v>0</v>
      </c>
      <c r="V21" s="6">
        <v>85.5</v>
      </c>
      <c r="W21" s="6" t="s">
        <v>54</v>
      </c>
      <c r="X21" s="6">
        <v>2021</v>
      </c>
      <c r="Y21" s="6">
        <v>2026</v>
      </c>
      <c r="Z21" s="6" t="s">
        <v>47</v>
      </c>
      <c r="AA21" s="6">
        <v>9.09</v>
      </c>
      <c r="AB21" s="6">
        <v>9.09</v>
      </c>
      <c r="AC21" s="6">
        <v>9.48</v>
      </c>
      <c r="AD21" s="6">
        <v>8.91</v>
      </c>
      <c r="AE21" s="6">
        <v>8.82</v>
      </c>
      <c r="AF21" s="6">
        <v>8.61</v>
      </c>
      <c r="AG21" s="6">
        <v>9</v>
      </c>
      <c r="AH21" s="6" t="s">
        <v>127</v>
      </c>
      <c r="AI21" s="3" t="s">
        <v>49</v>
      </c>
      <c r="AJ21" s="1"/>
      <c r="AK21" s="1"/>
      <c r="AL21" s="1"/>
      <c r="AM21" s="1"/>
      <c r="AN21" s="1"/>
      <c r="AO21" s="1"/>
    </row>
    <row r="22" spans="1:41">
      <c r="A22" s="3">
        <f t="shared" si="0"/>
        <v>20</v>
      </c>
      <c r="B22" s="6">
        <v>220104020042178</v>
      </c>
      <c r="C22" s="6" t="s">
        <v>128</v>
      </c>
      <c r="D22" s="7">
        <v>37884</v>
      </c>
      <c r="E22" s="6">
        <v>22</v>
      </c>
      <c r="F22" s="6" t="s">
        <v>39</v>
      </c>
      <c r="G22" s="6" t="s">
        <v>129</v>
      </c>
      <c r="H22" s="6" t="s">
        <v>41</v>
      </c>
      <c r="I22" s="6" t="s">
        <v>52</v>
      </c>
      <c r="J22" s="6" t="s">
        <v>43</v>
      </c>
      <c r="K22" s="3" t="s">
        <v>43</v>
      </c>
      <c r="L22" s="6">
        <v>22328</v>
      </c>
      <c r="M22" s="6">
        <v>115318</v>
      </c>
      <c r="N22" s="6" t="s">
        <v>130</v>
      </c>
      <c r="O22" s="6">
        <v>8449420468</v>
      </c>
      <c r="P22" s="6">
        <v>83.8</v>
      </c>
      <c r="Q22" s="6" t="s">
        <v>54</v>
      </c>
      <c r="R22" s="6">
        <v>2019</v>
      </c>
      <c r="S22" s="6" t="s">
        <v>46</v>
      </c>
      <c r="T22" s="5">
        <v>0</v>
      </c>
      <c r="U22" s="5">
        <v>0</v>
      </c>
      <c r="V22" s="6">
        <v>88.8</v>
      </c>
      <c r="W22" s="6" t="s">
        <v>54</v>
      </c>
      <c r="X22" s="6">
        <v>2021</v>
      </c>
      <c r="Y22" s="6">
        <v>2026</v>
      </c>
      <c r="Z22" s="6" t="s">
        <v>47</v>
      </c>
      <c r="AA22" s="6">
        <v>7.09</v>
      </c>
      <c r="AB22" s="6">
        <v>7.77</v>
      </c>
      <c r="AC22" s="6">
        <v>6.88</v>
      </c>
      <c r="AD22" s="6">
        <v>6.13</v>
      </c>
      <c r="AE22" s="6">
        <v>7.82</v>
      </c>
      <c r="AF22" s="6">
        <v>7.95</v>
      </c>
      <c r="AG22" s="6">
        <v>7.27</v>
      </c>
      <c r="AH22" s="6" t="s">
        <v>131</v>
      </c>
      <c r="AI22" s="6" t="s">
        <v>49</v>
      </c>
      <c r="AJ22" s="1"/>
      <c r="AK22" s="1"/>
      <c r="AL22" s="1"/>
      <c r="AM22" s="1"/>
      <c r="AN22" s="1"/>
      <c r="AO22" s="1"/>
    </row>
    <row r="23" spans="1:41">
      <c r="A23" s="3">
        <f t="shared" si="0"/>
        <v>21</v>
      </c>
      <c r="B23" s="3">
        <v>220104020048828</v>
      </c>
      <c r="C23" s="3" t="s">
        <v>132</v>
      </c>
      <c r="D23" s="4">
        <v>37935</v>
      </c>
      <c r="E23" s="3">
        <v>22</v>
      </c>
      <c r="F23" s="3" t="s">
        <v>39</v>
      </c>
      <c r="G23" s="3" t="s">
        <v>133</v>
      </c>
      <c r="H23" s="3" t="s">
        <v>88</v>
      </c>
      <c r="I23" s="3" t="s">
        <v>134</v>
      </c>
      <c r="J23" s="3" t="s">
        <v>43</v>
      </c>
      <c r="K23" s="3" t="s">
        <v>43</v>
      </c>
      <c r="L23" s="3">
        <v>22331</v>
      </c>
      <c r="M23" s="3">
        <v>125059</v>
      </c>
      <c r="N23" s="3" t="s">
        <v>135</v>
      </c>
      <c r="O23" s="3">
        <v>7607949863</v>
      </c>
      <c r="P23" s="3">
        <v>76.86</v>
      </c>
      <c r="Q23" s="3" t="s">
        <v>136</v>
      </c>
      <c r="R23" s="3">
        <v>2019</v>
      </c>
      <c r="S23" s="3" t="s">
        <v>46</v>
      </c>
      <c r="T23" s="5">
        <v>0</v>
      </c>
      <c r="U23" s="5">
        <v>0</v>
      </c>
      <c r="V23" s="3">
        <v>75.5</v>
      </c>
      <c r="W23" s="3" t="s">
        <v>60</v>
      </c>
      <c r="X23" s="3">
        <v>2021</v>
      </c>
      <c r="Y23" s="3">
        <v>2026</v>
      </c>
      <c r="Z23" s="3" t="s">
        <v>47</v>
      </c>
      <c r="AA23" s="3">
        <v>6.73</v>
      </c>
      <c r="AB23" s="3">
        <v>6.32</v>
      </c>
      <c r="AC23" s="3">
        <v>6.96</v>
      </c>
      <c r="AD23" s="3">
        <v>6.35</v>
      </c>
      <c r="AE23" s="3">
        <v>5.41</v>
      </c>
      <c r="AF23" s="3">
        <v>6.43</v>
      </c>
      <c r="AG23" s="3">
        <v>6.32</v>
      </c>
      <c r="AH23" s="3" t="s">
        <v>48</v>
      </c>
      <c r="AI23" s="3" t="s">
        <v>49</v>
      </c>
      <c r="AJ23" s="1"/>
      <c r="AK23" s="1"/>
      <c r="AL23" s="1"/>
      <c r="AM23" s="1"/>
      <c r="AN23" s="1"/>
      <c r="AO23" s="1"/>
    </row>
    <row r="24" spans="1:41">
      <c r="A24" s="3">
        <f t="shared" si="0"/>
        <v>22</v>
      </c>
      <c r="B24" s="3">
        <v>220104020049326</v>
      </c>
      <c r="C24" s="3" t="s">
        <v>137</v>
      </c>
      <c r="D24" s="4">
        <v>38313</v>
      </c>
      <c r="E24" s="3">
        <v>21</v>
      </c>
      <c r="F24" s="3" t="s">
        <v>39</v>
      </c>
      <c r="G24" s="3" t="s">
        <v>138</v>
      </c>
      <c r="H24" s="3" t="s">
        <v>88</v>
      </c>
      <c r="I24" s="3" t="s">
        <v>52</v>
      </c>
      <c r="J24" s="3" t="s">
        <v>43</v>
      </c>
      <c r="K24" s="3" t="s">
        <v>43</v>
      </c>
      <c r="L24" s="3">
        <v>22332</v>
      </c>
      <c r="M24" s="3">
        <v>150000</v>
      </c>
      <c r="N24" s="3" t="s">
        <v>139</v>
      </c>
      <c r="O24" s="3">
        <v>7905448858</v>
      </c>
      <c r="P24" s="3">
        <v>88.2</v>
      </c>
      <c r="Q24" s="3" t="s">
        <v>54</v>
      </c>
      <c r="R24" s="3">
        <v>2018</v>
      </c>
      <c r="S24" s="3" t="s">
        <v>46</v>
      </c>
      <c r="T24" s="5">
        <v>0</v>
      </c>
      <c r="U24" s="5">
        <v>0</v>
      </c>
      <c r="V24" s="3">
        <v>79.8</v>
      </c>
      <c r="W24" s="3" t="s">
        <v>54</v>
      </c>
      <c r="X24" s="3">
        <v>2020</v>
      </c>
      <c r="Y24" s="3">
        <v>2026</v>
      </c>
      <c r="Z24" s="3" t="s">
        <v>47</v>
      </c>
      <c r="AA24" s="3">
        <v>7</v>
      </c>
      <c r="AB24" s="3">
        <v>7.41</v>
      </c>
      <c r="AC24" s="3">
        <v>8.1999999999999993</v>
      </c>
      <c r="AD24" s="3">
        <v>7.74</v>
      </c>
      <c r="AE24" s="3">
        <v>7.59</v>
      </c>
      <c r="AF24" s="3">
        <v>8.14</v>
      </c>
      <c r="AG24" s="3">
        <v>7.68</v>
      </c>
      <c r="AH24" s="3" t="s">
        <v>140</v>
      </c>
      <c r="AI24" s="3" t="s">
        <v>49</v>
      </c>
      <c r="AJ24" s="1"/>
      <c r="AK24" s="1"/>
      <c r="AL24" s="1"/>
      <c r="AM24" s="1"/>
      <c r="AN24" s="1"/>
      <c r="AO24" s="1"/>
    </row>
    <row r="25" spans="1:41">
      <c r="A25" s="3">
        <f t="shared" si="0"/>
        <v>23</v>
      </c>
      <c r="B25" s="6">
        <v>220104020054743</v>
      </c>
      <c r="C25" s="6" t="s">
        <v>141</v>
      </c>
      <c r="D25" s="7">
        <v>37854</v>
      </c>
      <c r="E25" s="6">
        <v>23</v>
      </c>
      <c r="F25" s="6" t="s">
        <v>39</v>
      </c>
      <c r="G25" s="6" t="s">
        <v>142</v>
      </c>
      <c r="H25" s="6" t="s">
        <v>41</v>
      </c>
      <c r="I25" s="6" t="s">
        <v>42</v>
      </c>
      <c r="J25" s="6" t="s">
        <v>43</v>
      </c>
      <c r="K25" s="3" t="s">
        <v>43</v>
      </c>
      <c r="L25" s="6">
        <v>22334</v>
      </c>
      <c r="M25" s="6">
        <v>120468</v>
      </c>
      <c r="N25" s="6" t="s">
        <v>143</v>
      </c>
      <c r="O25" s="6">
        <v>9125230702</v>
      </c>
      <c r="P25" s="6">
        <v>69</v>
      </c>
      <c r="Q25" s="6" t="s">
        <v>54</v>
      </c>
      <c r="R25" s="6">
        <v>2019</v>
      </c>
      <c r="S25" s="6" t="s">
        <v>46</v>
      </c>
      <c r="T25" s="5">
        <v>0</v>
      </c>
      <c r="U25" s="5">
        <v>0</v>
      </c>
      <c r="V25" s="6">
        <v>73</v>
      </c>
      <c r="W25" s="6" t="s">
        <v>60</v>
      </c>
      <c r="X25" s="6">
        <v>2021</v>
      </c>
      <c r="Y25" s="6">
        <v>2026</v>
      </c>
      <c r="Z25" s="6" t="s">
        <v>47</v>
      </c>
      <c r="AA25" s="6">
        <v>7.23</v>
      </c>
      <c r="AB25" s="6">
        <v>8.23</v>
      </c>
      <c r="AC25" s="6">
        <v>8.08</v>
      </c>
      <c r="AD25" s="6">
        <v>7.95</v>
      </c>
      <c r="AE25" s="6">
        <v>7.45</v>
      </c>
      <c r="AF25" s="6">
        <v>8.0500000000000007</v>
      </c>
      <c r="AG25" s="6">
        <v>7.73</v>
      </c>
      <c r="AH25" s="6" t="s">
        <v>144</v>
      </c>
      <c r="AI25" s="6" t="s">
        <v>49</v>
      </c>
      <c r="AJ25" s="1"/>
      <c r="AK25" s="1"/>
      <c r="AL25" s="1"/>
      <c r="AM25" s="1"/>
      <c r="AN25" s="1"/>
      <c r="AO25" s="1"/>
    </row>
    <row r="26" spans="1:41">
      <c r="A26" s="3">
        <f t="shared" si="0"/>
        <v>24</v>
      </c>
      <c r="B26" s="3">
        <v>220104020059428</v>
      </c>
      <c r="C26" s="3" t="s">
        <v>145</v>
      </c>
      <c r="D26" s="4">
        <v>37149</v>
      </c>
      <c r="E26" s="3">
        <v>24</v>
      </c>
      <c r="F26" s="3" t="s">
        <v>39</v>
      </c>
      <c r="G26" s="3" t="s">
        <v>146</v>
      </c>
      <c r="H26" s="3" t="s">
        <v>41</v>
      </c>
      <c r="I26" s="3" t="s">
        <v>42</v>
      </c>
      <c r="J26" s="3" t="s">
        <v>43</v>
      </c>
      <c r="K26" s="3" t="s">
        <v>43</v>
      </c>
      <c r="L26" s="3">
        <v>22336</v>
      </c>
      <c r="M26" s="3">
        <v>165000</v>
      </c>
      <c r="N26" s="3" t="s">
        <v>147</v>
      </c>
      <c r="O26" s="3">
        <v>6393117573</v>
      </c>
      <c r="P26" s="3">
        <v>83.6</v>
      </c>
      <c r="Q26" s="3" t="s">
        <v>54</v>
      </c>
      <c r="R26" s="3">
        <v>2017</v>
      </c>
      <c r="S26" s="3" t="s">
        <v>46</v>
      </c>
      <c r="T26" s="5">
        <v>0</v>
      </c>
      <c r="U26" s="5">
        <v>0</v>
      </c>
      <c r="V26" s="3">
        <v>79</v>
      </c>
      <c r="W26" s="3" t="s">
        <v>60</v>
      </c>
      <c r="X26" s="3">
        <v>2021</v>
      </c>
      <c r="Y26" s="3">
        <v>2026</v>
      </c>
      <c r="Z26" s="3" t="s">
        <v>47</v>
      </c>
      <c r="AA26" s="3">
        <v>7.05</v>
      </c>
      <c r="AB26" s="3">
        <v>7.27</v>
      </c>
      <c r="AC26" s="3">
        <v>7.28</v>
      </c>
      <c r="AD26" s="3">
        <v>6.65</v>
      </c>
      <c r="AE26" s="3">
        <v>6.82</v>
      </c>
      <c r="AF26" s="3">
        <v>6.9</v>
      </c>
      <c r="AG26" s="3">
        <v>7</v>
      </c>
      <c r="AH26" s="3" t="s">
        <v>56</v>
      </c>
      <c r="AI26" s="3" t="s">
        <v>49</v>
      </c>
      <c r="AJ26" s="1"/>
      <c r="AK26" s="1"/>
      <c r="AL26" s="1"/>
      <c r="AM26" s="1"/>
      <c r="AN26" s="1"/>
      <c r="AO26" s="1"/>
    </row>
    <row r="27" spans="1:41">
      <c r="A27" s="3">
        <f t="shared" si="0"/>
        <v>25</v>
      </c>
      <c r="B27" s="6">
        <v>220104020062416</v>
      </c>
      <c r="C27" s="6" t="s">
        <v>148</v>
      </c>
      <c r="D27" s="7">
        <v>38214</v>
      </c>
      <c r="E27" s="6">
        <v>21</v>
      </c>
      <c r="F27" s="6" t="s">
        <v>39</v>
      </c>
      <c r="G27" s="6" t="s">
        <v>149</v>
      </c>
      <c r="H27" s="6" t="s">
        <v>41</v>
      </c>
      <c r="I27" s="6" t="s">
        <v>42</v>
      </c>
      <c r="J27" s="6" t="s">
        <v>43</v>
      </c>
      <c r="K27" s="3" t="s">
        <v>43</v>
      </c>
      <c r="L27" s="6">
        <v>22338</v>
      </c>
      <c r="M27" s="6">
        <v>134216</v>
      </c>
      <c r="N27" s="6" t="s">
        <v>150</v>
      </c>
      <c r="O27" s="6">
        <v>8445169603</v>
      </c>
      <c r="P27" s="6">
        <v>85.33</v>
      </c>
      <c r="Q27" s="6" t="s">
        <v>54</v>
      </c>
      <c r="R27" s="6">
        <v>2019</v>
      </c>
      <c r="S27" s="6" t="s">
        <v>46</v>
      </c>
      <c r="T27" s="5">
        <v>0</v>
      </c>
      <c r="U27" s="5">
        <v>0</v>
      </c>
      <c r="V27" s="6">
        <v>81.599999999999994</v>
      </c>
      <c r="W27" s="6" t="s">
        <v>54</v>
      </c>
      <c r="X27" s="6">
        <v>2021</v>
      </c>
      <c r="Y27" s="6">
        <v>2026</v>
      </c>
      <c r="Z27" s="6" t="s">
        <v>47</v>
      </c>
      <c r="AA27" s="6">
        <v>8.09</v>
      </c>
      <c r="AB27" s="6">
        <v>7.95</v>
      </c>
      <c r="AC27" s="6">
        <v>8.68</v>
      </c>
      <c r="AD27" s="6">
        <v>8</v>
      </c>
      <c r="AE27" s="6">
        <v>8.5</v>
      </c>
      <c r="AF27" s="6">
        <v>8.3800000000000008</v>
      </c>
      <c r="AG27" s="6">
        <v>8.26</v>
      </c>
      <c r="AH27" s="6" t="s">
        <v>96</v>
      </c>
      <c r="AI27" s="6" t="s">
        <v>151</v>
      </c>
      <c r="AJ27" s="1"/>
      <c r="AK27" s="1"/>
      <c r="AL27" s="1"/>
      <c r="AM27" s="1"/>
      <c r="AN27" s="1"/>
      <c r="AO27" s="1"/>
    </row>
    <row r="28" spans="1:41">
      <c r="A28" s="3">
        <f t="shared" si="0"/>
        <v>26</v>
      </c>
      <c r="B28" s="6">
        <v>220104020066381</v>
      </c>
      <c r="C28" s="6" t="s">
        <v>152</v>
      </c>
      <c r="D28" s="7">
        <v>37980</v>
      </c>
      <c r="E28" s="6">
        <v>22</v>
      </c>
      <c r="F28" s="6" t="s">
        <v>39</v>
      </c>
      <c r="G28" s="6" t="s">
        <v>153</v>
      </c>
      <c r="H28" s="6" t="s">
        <v>41</v>
      </c>
      <c r="I28" s="6" t="s">
        <v>154</v>
      </c>
      <c r="J28" s="6" t="s">
        <v>43</v>
      </c>
      <c r="K28" s="3" t="s">
        <v>43</v>
      </c>
      <c r="L28" s="6">
        <v>22339</v>
      </c>
      <c r="M28" s="6">
        <v>474512</v>
      </c>
      <c r="N28" s="6" t="s">
        <v>155</v>
      </c>
      <c r="O28" s="6">
        <v>6393519935</v>
      </c>
      <c r="P28" s="6">
        <v>75.400000000000006</v>
      </c>
      <c r="Q28" s="6" t="s">
        <v>54</v>
      </c>
      <c r="R28" s="6">
        <v>2019</v>
      </c>
      <c r="S28" s="6" t="s">
        <v>46</v>
      </c>
      <c r="T28" s="5">
        <v>0</v>
      </c>
      <c r="U28" s="5">
        <v>0</v>
      </c>
      <c r="V28" s="6">
        <v>65</v>
      </c>
      <c r="W28" s="6" t="s">
        <v>54</v>
      </c>
      <c r="X28" s="6">
        <v>2021</v>
      </c>
      <c r="Y28" s="6">
        <v>2026</v>
      </c>
      <c r="Z28" s="6" t="s">
        <v>47</v>
      </c>
      <c r="AA28" s="6">
        <v>6.86</v>
      </c>
      <c r="AB28" s="6">
        <v>6.86</v>
      </c>
      <c r="AC28" s="6">
        <v>7.72</v>
      </c>
      <c r="AD28" s="6">
        <v>6.87</v>
      </c>
      <c r="AE28" s="6">
        <v>6.91</v>
      </c>
      <c r="AF28" s="6">
        <v>6.67</v>
      </c>
      <c r="AG28" s="6">
        <v>7</v>
      </c>
      <c r="AH28" s="6" t="s">
        <v>156</v>
      </c>
      <c r="AI28" s="6" t="s">
        <v>49</v>
      </c>
      <c r="AJ28" s="1"/>
      <c r="AK28" s="1"/>
      <c r="AL28" s="1"/>
      <c r="AM28" s="1"/>
      <c r="AN28" s="1"/>
      <c r="AO28" s="1"/>
    </row>
    <row r="29" spans="1:41">
      <c r="A29" s="3">
        <f t="shared" si="0"/>
        <v>27</v>
      </c>
      <c r="B29" s="6">
        <v>220104020066712</v>
      </c>
      <c r="C29" s="6" t="s">
        <v>157</v>
      </c>
      <c r="D29" s="7">
        <v>37817</v>
      </c>
      <c r="E29" s="6">
        <v>22</v>
      </c>
      <c r="F29" s="6" t="s">
        <v>39</v>
      </c>
      <c r="G29" s="6" t="s">
        <v>158</v>
      </c>
      <c r="H29" s="6" t="s">
        <v>41</v>
      </c>
      <c r="I29" s="6" t="s">
        <v>52</v>
      </c>
      <c r="J29" s="6" t="s">
        <v>43</v>
      </c>
      <c r="K29" s="3" t="s">
        <v>43</v>
      </c>
      <c r="L29" s="6">
        <v>22340</v>
      </c>
      <c r="M29" s="6">
        <v>155323</v>
      </c>
      <c r="N29" s="6" t="s">
        <v>159</v>
      </c>
      <c r="O29" s="6">
        <v>8545896159</v>
      </c>
      <c r="P29" s="6">
        <v>90.8</v>
      </c>
      <c r="Q29" s="6" t="s">
        <v>54</v>
      </c>
      <c r="R29" s="6">
        <v>2019</v>
      </c>
      <c r="S29" s="6" t="s">
        <v>46</v>
      </c>
      <c r="T29" s="5">
        <v>0</v>
      </c>
      <c r="U29" s="5">
        <v>0</v>
      </c>
      <c r="V29" s="6">
        <v>89.2</v>
      </c>
      <c r="W29" s="6" t="s">
        <v>54</v>
      </c>
      <c r="X29" s="6">
        <v>2021</v>
      </c>
      <c r="Y29" s="6">
        <v>2026</v>
      </c>
      <c r="Z29" s="6" t="s">
        <v>47</v>
      </c>
      <c r="AA29" s="6">
        <v>8.4499999999999993</v>
      </c>
      <c r="AB29" s="6">
        <v>9.18</v>
      </c>
      <c r="AC29" s="6">
        <v>8.56</v>
      </c>
      <c r="AD29" s="6">
        <v>8.09</v>
      </c>
      <c r="AE29" s="6">
        <v>7.82</v>
      </c>
      <c r="AF29" s="6">
        <v>7.7</v>
      </c>
      <c r="AG29" s="6">
        <v>8.42</v>
      </c>
      <c r="AH29" s="6" t="s">
        <v>73</v>
      </c>
      <c r="AI29" s="6" t="s">
        <v>49</v>
      </c>
      <c r="AJ29" s="1"/>
      <c r="AK29" s="1"/>
      <c r="AL29" s="1"/>
      <c r="AM29" s="1"/>
      <c r="AN29" s="1"/>
      <c r="AO29" s="1"/>
    </row>
    <row r="30" spans="1:41">
      <c r="A30" s="3">
        <f t="shared" si="0"/>
        <v>28</v>
      </c>
      <c r="B30" s="6">
        <v>220104020072363</v>
      </c>
      <c r="C30" s="6" t="s">
        <v>160</v>
      </c>
      <c r="D30" s="7">
        <v>38257</v>
      </c>
      <c r="E30" s="6">
        <v>21</v>
      </c>
      <c r="F30" s="6" t="s">
        <v>39</v>
      </c>
      <c r="G30" s="6" t="s">
        <v>161</v>
      </c>
      <c r="H30" s="6" t="s">
        <v>41</v>
      </c>
      <c r="I30" s="6" t="s">
        <v>52</v>
      </c>
      <c r="J30" s="6" t="s">
        <v>43</v>
      </c>
      <c r="K30" s="3" t="s">
        <v>43</v>
      </c>
      <c r="L30" s="6">
        <v>22341</v>
      </c>
      <c r="M30" s="6">
        <v>107920</v>
      </c>
      <c r="N30" s="6" t="s">
        <v>162</v>
      </c>
      <c r="O30" s="6">
        <v>8009198506</v>
      </c>
      <c r="P30" s="6">
        <v>85.8</v>
      </c>
      <c r="Q30" s="6" t="s">
        <v>54</v>
      </c>
      <c r="R30" s="6">
        <v>2019</v>
      </c>
      <c r="S30" s="6" t="s">
        <v>46</v>
      </c>
      <c r="T30" s="5">
        <v>0</v>
      </c>
      <c r="U30" s="5">
        <v>0</v>
      </c>
      <c r="V30" s="6">
        <v>78.599999999999994</v>
      </c>
      <c r="W30" s="6" t="s">
        <v>60</v>
      </c>
      <c r="X30" s="6">
        <v>2021</v>
      </c>
      <c r="Y30" s="6">
        <v>2026</v>
      </c>
      <c r="Z30" s="6" t="s">
        <v>47</v>
      </c>
      <c r="AA30" s="6">
        <v>8.86</v>
      </c>
      <c r="AB30" s="6">
        <v>8.59</v>
      </c>
      <c r="AC30" s="6">
        <v>8.56</v>
      </c>
      <c r="AD30" s="6">
        <v>8.35</v>
      </c>
      <c r="AE30" s="6">
        <v>8.36</v>
      </c>
      <c r="AF30" s="6">
        <v>8.43</v>
      </c>
      <c r="AG30" s="6">
        <v>8.52</v>
      </c>
      <c r="AH30" s="6" t="s">
        <v>163</v>
      </c>
      <c r="AI30" s="6" t="s">
        <v>49</v>
      </c>
      <c r="AJ30" s="1"/>
      <c r="AK30" s="1"/>
      <c r="AL30" s="1"/>
      <c r="AM30" s="1"/>
      <c r="AN30" s="1"/>
      <c r="AO30" s="1"/>
    </row>
    <row r="31" spans="1:41">
      <c r="A31" s="3">
        <f t="shared" si="0"/>
        <v>29</v>
      </c>
      <c r="B31" s="3">
        <v>220104020073128</v>
      </c>
      <c r="C31" s="3" t="s">
        <v>164</v>
      </c>
      <c r="D31" s="4">
        <v>38578</v>
      </c>
      <c r="E31" s="3">
        <v>20</v>
      </c>
      <c r="F31" s="3" t="s">
        <v>39</v>
      </c>
      <c r="G31" s="3" t="s">
        <v>165</v>
      </c>
      <c r="H31" s="3" t="s">
        <v>88</v>
      </c>
      <c r="I31" s="3" t="s">
        <v>134</v>
      </c>
      <c r="J31" s="3" t="s">
        <v>43</v>
      </c>
      <c r="K31" s="3" t="s">
        <v>43</v>
      </c>
      <c r="L31" s="3">
        <v>22342</v>
      </c>
      <c r="M31" s="3">
        <v>223000</v>
      </c>
      <c r="N31" s="3" t="s">
        <v>166</v>
      </c>
      <c r="O31" s="3">
        <v>9140594415</v>
      </c>
      <c r="P31" s="3">
        <v>93.5</v>
      </c>
      <c r="Q31" s="3" t="s">
        <v>119</v>
      </c>
      <c r="R31" s="3">
        <v>2019</v>
      </c>
      <c r="S31" s="3" t="s">
        <v>46</v>
      </c>
      <c r="T31" s="5">
        <v>0</v>
      </c>
      <c r="U31" s="5">
        <v>0</v>
      </c>
      <c r="V31" s="3">
        <v>92.6</v>
      </c>
      <c r="W31" s="3" t="s">
        <v>119</v>
      </c>
      <c r="X31" s="3">
        <v>2021</v>
      </c>
      <c r="Y31" s="3">
        <v>2026</v>
      </c>
      <c r="Z31" s="3" t="s">
        <v>47</v>
      </c>
      <c r="AA31" s="3">
        <v>8</v>
      </c>
      <c r="AB31" s="3">
        <v>7.6</v>
      </c>
      <c r="AC31" s="3">
        <v>8.3000000000000007</v>
      </c>
      <c r="AD31" s="3">
        <v>7.6</v>
      </c>
      <c r="AE31" s="3">
        <v>7.3</v>
      </c>
      <c r="AF31" s="3">
        <v>8.1999999999999993</v>
      </c>
      <c r="AG31" s="3">
        <v>7.84</v>
      </c>
      <c r="AH31" s="3" t="s">
        <v>167</v>
      </c>
      <c r="AI31" s="3" t="s">
        <v>49</v>
      </c>
      <c r="AJ31" s="1"/>
      <c r="AK31" s="1"/>
      <c r="AL31" s="1"/>
      <c r="AM31" s="1"/>
      <c r="AN31" s="1"/>
      <c r="AO31" s="1"/>
    </row>
    <row r="32" spans="1:41">
      <c r="A32" s="3">
        <f t="shared" si="0"/>
        <v>30</v>
      </c>
      <c r="B32" s="6">
        <v>220104020073128</v>
      </c>
      <c r="C32" s="6" t="s">
        <v>168</v>
      </c>
      <c r="D32" s="7">
        <v>38210</v>
      </c>
      <c r="E32" s="6">
        <v>21</v>
      </c>
      <c r="F32" s="6" t="s">
        <v>39</v>
      </c>
      <c r="G32" s="6" t="s">
        <v>169</v>
      </c>
      <c r="H32" s="6" t="s">
        <v>41</v>
      </c>
      <c r="I32" s="6" t="s">
        <v>134</v>
      </c>
      <c r="J32" s="6" t="s">
        <v>43</v>
      </c>
      <c r="K32" s="3" t="s">
        <v>43</v>
      </c>
      <c r="L32" s="6">
        <v>22343</v>
      </c>
      <c r="M32" s="6">
        <v>260481</v>
      </c>
      <c r="N32" s="6" t="s">
        <v>170</v>
      </c>
      <c r="O32" s="6">
        <v>9555786550</v>
      </c>
      <c r="P32" s="6">
        <v>96.6</v>
      </c>
      <c r="Q32" s="6" t="s">
        <v>119</v>
      </c>
      <c r="R32" s="6">
        <v>2020</v>
      </c>
      <c r="S32" s="6" t="s">
        <v>46</v>
      </c>
      <c r="T32" s="5">
        <v>0</v>
      </c>
      <c r="U32" s="5">
        <v>0</v>
      </c>
      <c r="V32" s="6">
        <v>94</v>
      </c>
      <c r="W32" s="6" t="s">
        <v>119</v>
      </c>
      <c r="X32" s="6">
        <v>2022</v>
      </c>
      <c r="Y32" s="6">
        <v>2026</v>
      </c>
      <c r="Z32" s="6" t="s">
        <v>47</v>
      </c>
      <c r="AA32" s="6">
        <v>8.9499999999999993</v>
      </c>
      <c r="AB32" s="6">
        <v>9.27</v>
      </c>
      <c r="AC32" s="6">
        <v>9.1199999999999992</v>
      </c>
      <c r="AD32" s="6">
        <v>9.26</v>
      </c>
      <c r="AE32" s="6">
        <v>9.27</v>
      </c>
      <c r="AF32" s="6">
        <v>9.48</v>
      </c>
      <c r="AG32" s="6">
        <v>9.2249999999999996</v>
      </c>
      <c r="AH32" s="6" t="s">
        <v>104</v>
      </c>
      <c r="AI32" s="6" t="s">
        <v>49</v>
      </c>
      <c r="AJ32" s="1"/>
      <c r="AK32" s="1"/>
      <c r="AL32" s="1"/>
      <c r="AM32" s="1"/>
      <c r="AN32" s="1"/>
      <c r="AO32" s="1"/>
    </row>
    <row r="33" spans="1:41">
      <c r="A33" s="3">
        <f t="shared" si="0"/>
        <v>31</v>
      </c>
      <c r="B33" s="6">
        <v>220104020086039</v>
      </c>
      <c r="C33" s="6" t="s">
        <v>171</v>
      </c>
      <c r="D33" s="7">
        <v>37705</v>
      </c>
      <c r="E33" s="6">
        <v>22</v>
      </c>
      <c r="F33" s="6" t="s">
        <v>39</v>
      </c>
      <c r="G33" s="6" t="s">
        <v>172</v>
      </c>
      <c r="H33" s="6" t="s">
        <v>41</v>
      </c>
      <c r="I33" s="6" t="s">
        <v>64</v>
      </c>
      <c r="J33" s="6" t="s">
        <v>43</v>
      </c>
      <c r="K33" s="3" t="s">
        <v>43</v>
      </c>
      <c r="L33" s="6">
        <v>22347</v>
      </c>
      <c r="M33" s="6">
        <v>59656</v>
      </c>
      <c r="N33" s="6" t="s">
        <v>173</v>
      </c>
      <c r="O33" s="6">
        <v>9305276823</v>
      </c>
      <c r="P33" s="6">
        <v>95.4</v>
      </c>
      <c r="Q33" s="6" t="s">
        <v>54</v>
      </c>
      <c r="R33" s="6">
        <v>2019</v>
      </c>
      <c r="S33" s="6" t="s">
        <v>46</v>
      </c>
      <c r="T33" s="5">
        <v>0</v>
      </c>
      <c r="U33" s="5">
        <v>0</v>
      </c>
      <c r="V33" s="6">
        <v>92</v>
      </c>
      <c r="W33" s="6" t="s">
        <v>54</v>
      </c>
      <c r="X33" s="6">
        <v>2021</v>
      </c>
      <c r="Y33" s="6">
        <v>2026</v>
      </c>
      <c r="Z33" s="6" t="s">
        <v>47</v>
      </c>
      <c r="AA33" s="6">
        <v>7.95</v>
      </c>
      <c r="AB33" s="6">
        <v>8.09</v>
      </c>
      <c r="AC33" s="6">
        <v>7.6</v>
      </c>
      <c r="AD33" s="6">
        <v>7.57</v>
      </c>
      <c r="AE33" s="6">
        <v>7.27</v>
      </c>
      <c r="AF33" s="6">
        <v>6.9</v>
      </c>
      <c r="AG33" s="6">
        <v>7.56</v>
      </c>
      <c r="AH33" s="6" t="s">
        <v>111</v>
      </c>
      <c r="AI33" s="6" t="s">
        <v>49</v>
      </c>
      <c r="AJ33" s="1"/>
      <c r="AK33" s="1"/>
      <c r="AL33" s="1"/>
      <c r="AM33" s="1"/>
      <c r="AN33" s="1"/>
      <c r="AO33" s="1"/>
    </row>
    <row r="34" spans="1:41">
      <c r="A34" s="3">
        <f t="shared" si="0"/>
        <v>32</v>
      </c>
      <c r="B34" s="3">
        <v>220104020092581</v>
      </c>
      <c r="C34" s="3" t="s">
        <v>174</v>
      </c>
      <c r="D34" s="4">
        <v>37760</v>
      </c>
      <c r="E34" s="3">
        <v>23</v>
      </c>
      <c r="F34" s="3" t="s">
        <v>39</v>
      </c>
      <c r="G34" s="3" t="s">
        <v>175</v>
      </c>
      <c r="H34" s="3" t="s">
        <v>41</v>
      </c>
      <c r="I34" s="3" t="s">
        <v>52</v>
      </c>
      <c r="J34" s="3" t="s">
        <v>43</v>
      </c>
      <c r="K34" s="3" t="s">
        <v>43</v>
      </c>
      <c r="L34" s="3">
        <v>22354</v>
      </c>
      <c r="M34" s="3">
        <v>89780</v>
      </c>
      <c r="N34" s="3" t="s">
        <v>176</v>
      </c>
      <c r="O34" s="3">
        <v>9838875475</v>
      </c>
      <c r="P34" s="3">
        <v>79.8</v>
      </c>
      <c r="Q34" s="3" t="s">
        <v>54</v>
      </c>
      <c r="R34" s="3">
        <v>2018</v>
      </c>
      <c r="S34" s="3" t="s">
        <v>46</v>
      </c>
      <c r="T34" s="5">
        <v>0</v>
      </c>
      <c r="U34" s="5">
        <v>0</v>
      </c>
      <c r="V34" s="3">
        <v>90.2</v>
      </c>
      <c r="W34" s="3" t="s">
        <v>54</v>
      </c>
      <c r="X34" s="3">
        <v>2020</v>
      </c>
      <c r="Y34" s="3">
        <v>2026</v>
      </c>
      <c r="Z34" s="3" t="s">
        <v>47</v>
      </c>
      <c r="AA34" s="3">
        <v>8.27</v>
      </c>
      <c r="AB34" s="3">
        <v>8.77</v>
      </c>
      <c r="AC34" s="3">
        <v>8.6199999999999992</v>
      </c>
      <c r="AD34" s="3">
        <v>8.17</v>
      </c>
      <c r="AE34" s="3">
        <v>8.23</v>
      </c>
      <c r="AF34" s="3">
        <v>7.86</v>
      </c>
      <c r="AG34" s="3">
        <v>8.32</v>
      </c>
      <c r="AH34" s="3" t="s">
        <v>177</v>
      </c>
      <c r="AI34" s="3" t="s">
        <v>49</v>
      </c>
      <c r="AJ34" s="1"/>
      <c r="AK34" s="1"/>
      <c r="AL34" s="1"/>
      <c r="AM34" s="1"/>
      <c r="AN34" s="1"/>
      <c r="AO34" s="1"/>
    </row>
    <row r="35" spans="1:41">
      <c r="A35" s="3">
        <f t="shared" si="0"/>
        <v>33</v>
      </c>
      <c r="B35" s="3">
        <v>220104020094406</v>
      </c>
      <c r="C35" s="3" t="s">
        <v>178</v>
      </c>
      <c r="D35" s="4">
        <v>37706</v>
      </c>
      <c r="E35" s="3">
        <v>22</v>
      </c>
      <c r="F35" s="3" t="s">
        <v>39</v>
      </c>
      <c r="G35" s="3" t="s">
        <v>179</v>
      </c>
      <c r="H35" s="3" t="s">
        <v>41</v>
      </c>
      <c r="I35" s="3" t="s">
        <v>42</v>
      </c>
      <c r="J35" s="3" t="s">
        <v>43</v>
      </c>
      <c r="K35" s="3" t="s">
        <v>43</v>
      </c>
      <c r="L35" s="3">
        <v>22356</v>
      </c>
      <c r="M35" s="3">
        <v>108000</v>
      </c>
      <c r="N35" s="3" t="s">
        <v>180</v>
      </c>
      <c r="O35" s="3">
        <v>7518957074</v>
      </c>
      <c r="P35" s="3">
        <v>84.8</v>
      </c>
      <c r="Q35" s="3" t="s">
        <v>60</v>
      </c>
      <c r="R35" s="3">
        <v>2019</v>
      </c>
      <c r="S35" s="3" t="s">
        <v>46</v>
      </c>
      <c r="T35" s="5">
        <v>0</v>
      </c>
      <c r="U35" s="5">
        <v>0</v>
      </c>
      <c r="V35" s="3">
        <v>83.6</v>
      </c>
      <c r="W35" s="3" t="s">
        <v>91</v>
      </c>
      <c r="X35" s="3">
        <v>2021</v>
      </c>
      <c r="Y35" s="3">
        <v>2026</v>
      </c>
      <c r="Z35" s="3" t="s">
        <v>47</v>
      </c>
      <c r="AA35" s="3">
        <v>6.95</v>
      </c>
      <c r="AB35" s="3">
        <v>7.23</v>
      </c>
      <c r="AC35" s="3">
        <v>7.16</v>
      </c>
      <c r="AD35" s="3">
        <v>7.22</v>
      </c>
      <c r="AE35" s="3">
        <v>7</v>
      </c>
      <c r="AF35" s="3">
        <v>7.71</v>
      </c>
      <c r="AG35" s="3">
        <v>7.21</v>
      </c>
      <c r="AH35" s="3" t="s">
        <v>181</v>
      </c>
      <c r="AI35" s="3" t="s">
        <v>49</v>
      </c>
      <c r="AJ35" s="1"/>
      <c r="AK35" s="1"/>
      <c r="AL35" s="1"/>
      <c r="AM35" s="1"/>
      <c r="AN35" s="1"/>
      <c r="AO35" s="1"/>
    </row>
    <row r="36" spans="1:41">
      <c r="A36" s="3">
        <f t="shared" si="0"/>
        <v>34</v>
      </c>
      <c r="B36" s="6">
        <v>220104020096093</v>
      </c>
      <c r="C36" s="6" t="s">
        <v>182</v>
      </c>
      <c r="D36" s="7">
        <v>37848</v>
      </c>
      <c r="E36" s="6">
        <v>22</v>
      </c>
      <c r="F36" s="6" t="s">
        <v>39</v>
      </c>
      <c r="G36" s="6" t="s">
        <v>183</v>
      </c>
      <c r="H36" s="6" t="s">
        <v>41</v>
      </c>
      <c r="I36" s="6" t="s">
        <v>52</v>
      </c>
      <c r="J36" s="6" t="s">
        <v>43</v>
      </c>
      <c r="K36" s="3" t="s">
        <v>43</v>
      </c>
      <c r="L36" s="6">
        <v>22358</v>
      </c>
      <c r="M36" s="6">
        <v>180000</v>
      </c>
      <c r="N36" s="6" t="s">
        <v>184</v>
      </c>
      <c r="O36" s="6">
        <v>8299195151</v>
      </c>
      <c r="P36" s="6">
        <v>80.400000000000006</v>
      </c>
      <c r="Q36" s="6" t="s">
        <v>54</v>
      </c>
      <c r="R36" s="6">
        <v>2018</v>
      </c>
      <c r="S36" s="6" t="s">
        <v>46</v>
      </c>
      <c r="T36" s="5">
        <v>0</v>
      </c>
      <c r="U36" s="5">
        <v>0</v>
      </c>
      <c r="V36" s="6">
        <v>84.16</v>
      </c>
      <c r="W36" s="6" t="s">
        <v>54</v>
      </c>
      <c r="X36" s="6">
        <v>2020</v>
      </c>
      <c r="Y36" s="6">
        <v>2026</v>
      </c>
      <c r="Z36" s="6" t="s">
        <v>47</v>
      </c>
      <c r="AA36" s="6">
        <v>7.68</v>
      </c>
      <c r="AB36" s="6">
        <v>7.68</v>
      </c>
      <c r="AC36" s="6">
        <v>8.6</v>
      </c>
      <c r="AD36" s="6">
        <v>7.43</v>
      </c>
      <c r="AE36" s="6">
        <v>8</v>
      </c>
      <c r="AF36" s="6">
        <v>8.43</v>
      </c>
      <c r="AG36" s="6">
        <v>7.97</v>
      </c>
      <c r="AH36" s="6" t="s">
        <v>185</v>
      </c>
      <c r="AI36" s="6" t="s">
        <v>49</v>
      </c>
      <c r="AJ36" s="1"/>
      <c r="AK36" s="1"/>
      <c r="AL36" s="1"/>
      <c r="AM36" s="1"/>
      <c r="AN36" s="1"/>
      <c r="AO36" s="1"/>
    </row>
    <row r="37" spans="1:41">
      <c r="A37" s="3">
        <f t="shared" si="0"/>
        <v>35</v>
      </c>
      <c r="B37" s="3">
        <v>220104020096193</v>
      </c>
      <c r="C37" s="3" t="s">
        <v>186</v>
      </c>
      <c r="D37" s="4">
        <v>37896</v>
      </c>
      <c r="E37" s="3">
        <v>22</v>
      </c>
      <c r="F37" s="3" t="s">
        <v>39</v>
      </c>
      <c r="G37" s="3" t="s">
        <v>187</v>
      </c>
      <c r="H37" s="3" t="s">
        <v>41</v>
      </c>
      <c r="I37" s="3" t="s">
        <v>64</v>
      </c>
      <c r="J37" s="3" t="s">
        <v>43</v>
      </c>
      <c r="K37" s="3" t="s">
        <v>43</v>
      </c>
      <c r="L37" s="3">
        <v>22359</v>
      </c>
      <c r="M37" s="3">
        <v>95740</v>
      </c>
      <c r="N37" s="3" t="s">
        <v>188</v>
      </c>
      <c r="O37" s="3">
        <v>8543090364</v>
      </c>
      <c r="P37" s="3">
        <v>84.2</v>
      </c>
      <c r="Q37" s="3" t="s">
        <v>54</v>
      </c>
      <c r="R37" s="3">
        <v>2019</v>
      </c>
      <c r="S37" s="3" t="s">
        <v>46</v>
      </c>
      <c r="T37" s="5">
        <v>0</v>
      </c>
      <c r="U37" s="5">
        <v>0</v>
      </c>
      <c r="V37" s="3">
        <v>89</v>
      </c>
      <c r="W37" s="3" t="s">
        <v>54</v>
      </c>
      <c r="X37" s="3">
        <v>2021</v>
      </c>
      <c r="Y37" s="3">
        <v>2026</v>
      </c>
      <c r="Z37" s="3" t="s">
        <v>47</v>
      </c>
      <c r="AA37" s="3">
        <v>7.5</v>
      </c>
      <c r="AB37" s="3">
        <v>8.14</v>
      </c>
      <c r="AC37" s="3">
        <v>8.1199999999999992</v>
      </c>
      <c r="AD37" s="3">
        <v>6.09</v>
      </c>
      <c r="AE37" s="3">
        <v>6.95</v>
      </c>
      <c r="AF37" s="3">
        <v>7.19</v>
      </c>
      <c r="AG37" s="3">
        <v>7.29</v>
      </c>
      <c r="AH37" s="3" t="s">
        <v>111</v>
      </c>
      <c r="AI37" s="3" t="s">
        <v>49</v>
      </c>
      <c r="AJ37" s="1"/>
      <c r="AK37" s="1"/>
      <c r="AL37" s="1"/>
      <c r="AM37" s="1"/>
      <c r="AN37" s="1"/>
      <c r="AO37" s="1"/>
    </row>
    <row r="38" spans="1:41">
      <c r="A38" s="3">
        <f t="shared" si="0"/>
        <v>36</v>
      </c>
      <c r="B38" s="3">
        <v>220104020098482</v>
      </c>
      <c r="C38" s="3" t="s">
        <v>189</v>
      </c>
      <c r="D38" s="4">
        <v>37610</v>
      </c>
      <c r="E38" s="3">
        <v>23</v>
      </c>
      <c r="F38" s="3" t="s">
        <v>39</v>
      </c>
      <c r="G38" s="3" t="s">
        <v>190</v>
      </c>
      <c r="H38" s="3" t="s">
        <v>41</v>
      </c>
      <c r="I38" s="3" t="s">
        <v>42</v>
      </c>
      <c r="J38" s="3" t="s">
        <v>43</v>
      </c>
      <c r="K38" s="3" t="s">
        <v>43</v>
      </c>
      <c r="L38" s="3">
        <v>22360</v>
      </c>
      <c r="M38" s="3">
        <v>178799</v>
      </c>
      <c r="N38" s="3" t="s">
        <v>191</v>
      </c>
      <c r="O38" s="3">
        <v>7524843547</v>
      </c>
      <c r="P38" s="3">
        <v>88.5</v>
      </c>
      <c r="Q38" s="3" t="s">
        <v>60</v>
      </c>
      <c r="R38" s="3">
        <v>2018</v>
      </c>
      <c r="S38" s="3" t="s">
        <v>46</v>
      </c>
      <c r="T38" s="5">
        <v>0</v>
      </c>
      <c r="U38" s="5">
        <v>0</v>
      </c>
      <c r="V38" s="3">
        <v>83.5</v>
      </c>
      <c r="W38" s="3" t="s">
        <v>60</v>
      </c>
      <c r="X38" s="3">
        <v>2020</v>
      </c>
      <c r="Y38" s="3">
        <v>2026</v>
      </c>
      <c r="Z38" s="3" t="s">
        <v>47</v>
      </c>
      <c r="AA38" s="3">
        <v>8.32</v>
      </c>
      <c r="AB38" s="3">
        <v>8.5500000000000007</v>
      </c>
      <c r="AC38" s="3">
        <v>9</v>
      </c>
      <c r="AD38" s="3">
        <v>7.96</v>
      </c>
      <c r="AE38" s="3">
        <v>8.35</v>
      </c>
      <c r="AF38" s="3">
        <v>8.9</v>
      </c>
      <c r="AG38" s="3">
        <v>8.56</v>
      </c>
      <c r="AH38" s="3" t="s">
        <v>167</v>
      </c>
      <c r="AI38" s="3" t="s">
        <v>49</v>
      </c>
      <c r="AJ38" s="1"/>
      <c r="AK38" s="1"/>
      <c r="AL38" s="1"/>
      <c r="AM38" s="1"/>
      <c r="AN38" s="1"/>
      <c r="AO38" s="1"/>
    </row>
    <row r="39" spans="1:41">
      <c r="A39" s="3">
        <f t="shared" si="0"/>
        <v>37</v>
      </c>
      <c r="B39" s="3">
        <v>220104020099606</v>
      </c>
      <c r="C39" s="3" t="s">
        <v>192</v>
      </c>
      <c r="D39" s="4">
        <v>37920</v>
      </c>
      <c r="E39" s="3">
        <v>22</v>
      </c>
      <c r="F39" s="3" t="s">
        <v>39</v>
      </c>
      <c r="G39" s="3" t="s">
        <v>193</v>
      </c>
      <c r="H39" s="3" t="s">
        <v>41</v>
      </c>
      <c r="I39" s="3" t="s">
        <v>52</v>
      </c>
      <c r="J39" s="3" t="s">
        <v>43</v>
      </c>
      <c r="K39" s="3" t="s">
        <v>43</v>
      </c>
      <c r="L39" s="3">
        <v>22361</v>
      </c>
      <c r="M39" s="3">
        <v>91522</v>
      </c>
      <c r="N39" s="3" t="s">
        <v>194</v>
      </c>
      <c r="O39" s="3">
        <v>9919306107</v>
      </c>
      <c r="P39" s="3">
        <v>93.8</v>
      </c>
      <c r="Q39" s="3" t="s">
        <v>54</v>
      </c>
      <c r="R39" s="3">
        <v>2019</v>
      </c>
      <c r="S39" s="3" t="s">
        <v>46</v>
      </c>
      <c r="T39" s="5">
        <v>0</v>
      </c>
      <c r="U39" s="5">
        <v>0</v>
      </c>
      <c r="V39" s="3">
        <v>91</v>
      </c>
      <c r="W39" s="3" t="s">
        <v>54</v>
      </c>
      <c r="X39" s="3">
        <v>2021</v>
      </c>
      <c r="Y39" s="3">
        <v>2026</v>
      </c>
      <c r="Z39" s="3" t="s">
        <v>47</v>
      </c>
      <c r="AA39" s="3">
        <v>6.23</v>
      </c>
      <c r="AB39" s="3">
        <v>6.32</v>
      </c>
      <c r="AC39" s="3">
        <v>7.72</v>
      </c>
      <c r="AD39" s="3">
        <v>7.48</v>
      </c>
      <c r="AE39" s="3">
        <v>7.09</v>
      </c>
      <c r="AF39" s="3">
        <v>6.24</v>
      </c>
      <c r="AG39" s="3">
        <v>6.85</v>
      </c>
      <c r="AH39" s="3" t="s">
        <v>195</v>
      </c>
      <c r="AI39" s="3" t="s">
        <v>49</v>
      </c>
      <c r="AJ39" s="1"/>
      <c r="AK39" s="1"/>
      <c r="AL39" s="1"/>
      <c r="AM39" s="1"/>
      <c r="AN39" s="1"/>
      <c r="AO39" s="1"/>
    </row>
    <row r="40" spans="1:41">
      <c r="A40" s="3">
        <f t="shared" si="0"/>
        <v>38</v>
      </c>
      <c r="B40" s="3">
        <v>220104020103584</v>
      </c>
      <c r="C40" s="3" t="s">
        <v>196</v>
      </c>
      <c r="D40" s="4">
        <v>38204</v>
      </c>
      <c r="E40" s="3">
        <v>21</v>
      </c>
      <c r="F40" s="3" t="s">
        <v>39</v>
      </c>
      <c r="G40" s="3" t="s">
        <v>197</v>
      </c>
      <c r="H40" s="3" t="s">
        <v>41</v>
      </c>
      <c r="I40" s="3" t="s">
        <v>52</v>
      </c>
      <c r="J40" s="3" t="s">
        <v>43</v>
      </c>
      <c r="K40" s="3" t="s">
        <v>43</v>
      </c>
      <c r="L40" s="3">
        <v>22364</v>
      </c>
      <c r="M40" s="3">
        <v>177996</v>
      </c>
      <c r="N40" s="3" t="s">
        <v>198</v>
      </c>
      <c r="O40" s="3">
        <v>8303039022</v>
      </c>
      <c r="P40" s="3">
        <v>95.8</v>
      </c>
      <c r="Q40" s="3" t="s">
        <v>119</v>
      </c>
      <c r="R40" s="3">
        <v>2019</v>
      </c>
      <c r="S40" s="3" t="s">
        <v>46</v>
      </c>
      <c r="T40" s="5">
        <v>0</v>
      </c>
      <c r="U40" s="5">
        <v>0</v>
      </c>
      <c r="V40" s="3">
        <v>91.75</v>
      </c>
      <c r="W40" s="3" t="s">
        <v>119</v>
      </c>
      <c r="X40" s="3">
        <v>2021</v>
      </c>
      <c r="Y40" s="3">
        <v>2026</v>
      </c>
      <c r="Z40" s="3" t="s">
        <v>47</v>
      </c>
      <c r="AA40" s="3">
        <v>8.82</v>
      </c>
      <c r="AB40" s="3">
        <v>8.9499999999999993</v>
      </c>
      <c r="AC40" s="3">
        <v>8.2799999999999994</v>
      </c>
      <c r="AD40" s="3">
        <v>7.74</v>
      </c>
      <c r="AE40" s="3">
        <v>7.36</v>
      </c>
      <c r="AF40" s="3">
        <v>6.9</v>
      </c>
      <c r="AG40" s="3">
        <v>8.02</v>
      </c>
      <c r="AH40" s="3" t="s">
        <v>156</v>
      </c>
      <c r="AI40" s="3" t="s">
        <v>49</v>
      </c>
      <c r="AJ40" s="1"/>
      <c r="AK40" s="1"/>
      <c r="AL40" s="1"/>
      <c r="AM40" s="1"/>
      <c r="AN40" s="1"/>
      <c r="AO40" s="1"/>
    </row>
    <row r="41" spans="1:41">
      <c r="A41" s="3">
        <f t="shared" si="0"/>
        <v>39</v>
      </c>
      <c r="B41" s="6">
        <v>230104020009349</v>
      </c>
      <c r="C41" s="6" t="s">
        <v>199</v>
      </c>
      <c r="D41" s="7">
        <v>37954</v>
      </c>
      <c r="E41" s="6">
        <v>22</v>
      </c>
      <c r="F41" s="6" t="s">
        <v>39</v>
      </c>
      <c r="G41" s="6" t="s">
        <v>200</v>
      </c>
      <c r="H41" s="6" t="s">
        <v>41</v>
      </c>
      <c r="I41" s="6" t="s">
        <v>52</v>
      </c>
      <c r="J41" s="6" t="s">
        <v>43</v>
      </c>
      <c r="K41" s="3" t="s">
        <v>43</v>
      </c>
      <c r="L41" s="6">
        <v>238301</v>
      </c>
      <c r="M41" s="6">
        <v>0</v>
      </c>
      <c r="N41" s="6" t="s">
        <v>201</v>
      </c>
      <c r="O41" s="6">
        <v>9335935209</v>
      </c>
      <c r="P41" s="6">
        <v>86</v>
      </c>
      <c r="Q41" s="6" t="s">
        <v>202</v>
      </c>
      <c r="R41" s="6">
        <v>2019</v>
      </c>
      <c r="S41" s="6" t="s">
        <v>203</v>
      </c>
      <c r="T41" s="6">
        <v>77.73</v>
      </c>
      <c r="U41" s="6">
        <v>2023</v>
      </c>
      <c r="V41" s="6">
        <v>84.4</v>
      </c>
      <c r="W41" s="6" t="s">
        <v>202</v>
      </c>
      <c r="X41" s="6">
        <v>2021</v>
      </c>
      <c r="Y41" s="6">
        <v>2026</v>
      </c>
      <c r="Z41" s="6" t="s">
        <v>47</v>
      </c>
      <c r="AA41" s="6">
        <v>0</v>
      </c>
      <c r="AB41" s="6">
        <v>0</v>
      </c>
      <c r="AC41" s="6">
        <v>8.68</v>
      </c>
      <c r="AD41" s="6">
        <v>9.3000000000000007</v>
      </c>
      <c r="AE41" s="6">
        <v>8.64</v>
      </c>
      <c r="AF41" s="6">
        <v>8.9499999999999993</v>
      </c>
      <c r="AG41" s="6">
        <v>8.89</v>
      </c>
      <c r="AH41" s="6" t="s">
        <v>204</v>
      </c>
      <c r="AI41" s="3" t="s">
        <v>49</v>
      </c>
      <c r="AJ41" s="1"/>
      <c r="AK41" s="1"/>
      <c r="AL41" s="1"/>
      <c r="AM41" s="1"/>
      <c r="AN41" s="1"/>
      <c r="AO41" s="1"/>
    </row>
    <row r="42" spans="1:41">
      <c r="A42" s="3">
        <f t="shared" si="0"/>
        <v>40</v>
      </c>
      <c r="B42" s="6">
        <v>230104020051428</v>
      </c>
      <c r="C42" s="6" t="s">
        <v>205</v>
      </c>
      <c r="D42" s="7">
        <v>37845</v>
      </c>
      <c r="E42" s="6">
        <v>22</v>
      </c>
      <c r="F42" s="6" t="s">
        <v>39</v>
      </c>
      <c r="G42" s="6" t="s">
        <v>206</v>
      </c>
      <c r="H42" s="6" t="s">
        <v>88</v>
      </c>
      <c r="I42" s="6" t="s">
        <v>134</v>
      </c>
      <c r="J42" s="6" t="s">
        <v>43</v>
      </c>
      <c r="K42" s="3" t="s">
        <v>43</v>
      </c>
      <c r="L42" s="6">
        <v>238304</v>
      </c>
      <c r="M42" s="6">
        <v>0</v>
      </c>
      <c r="N42" s="6" t="s">
        <v>207</v>
      </c>
      <c r="O42" s="6">
        <v>6307478255</v>
      </c>
      <c r="P42" s="6">
        <v>88.5</v>
      </c>
      <c r="Q42" s="6" t="s">
        <v>208</v>
      </c>
      <c r="R42" s="6">
        <v>2018</v>
      </c>
      <c r="S42" s="6" t="s">
        <v>203</v>
      </c>
      <c r="T42" s="6">
        <v>75.7</v>
      </c>
      <c r="U42" s="6">
        <v>2023</v>
      </c>
      <c r="V42" s="6">
        <v>0</v>
      </c>
      <c r="W42" s="6">
        <v>0</v>
      </c>
      <c r="X42" s="6">
        <v>0</v>
      </c>
      <c r="Y42" s="6">
        <v>2026</v>
      </c>
      <c r="Z42" s="6" t="s">
        <v>47</v>
      </c>
      <c r="AA42" s="6">
        <v>0</v>
      </c>
      <c r="AB42" s="6">
        <v>0</v>
      </c>
      <c r="AC42" s="6">
        <v>8.36</v>
      </c>
      <c r="AD42" s="6">
        <v>8.2200000000000006</v>
      </c>
      <c r="AE42" s="6">
        <v>8.09</v>
      </c>
      <c r="AF42" s="6">
        <v>8.14</v>
      </c>
      <c r="AG42" s="6">
        <v>8.19</v>
      </c>
      <c r="AH42" s="6" t="s">
        <v>167</v>
      </c>
      <c r="AI42" s="6" t="s">
        <v>49</v>
      </c>
      <c r="AJ42" s="1"/>
      <c r="AK42" s="1"/>
      <c r="AL42" s="1"/>
      <c r="AM42" s="1"/>
      <c r="AN42" s="1"/>
      <c r="AO42" s="1"/>
    </row>
    <row r="43" spans="1:4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</sheetData>
  <sortState xmlns:xlrd2="http://schemas.microsoft.com/office/spreadsheetml/2017/richdata2" ref="A2:AI142">
    <sortCondition ref="L3:L1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2025-12-31T12:12:37Z</dcterms:created>
  <dcterms:modified xsi:type="dcterms:W3CDTF">2025-12-31T13:29:25Z</dcterms:modified>
  <cp:category/>
  <cp:contentStatus/>
</cp:coreProperties>
</file>